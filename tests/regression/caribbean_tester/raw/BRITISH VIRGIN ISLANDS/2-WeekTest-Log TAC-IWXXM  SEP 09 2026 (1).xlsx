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Test Log" sheetId="2" r:id="rId5"/>
    <sheet state="visible" name="Summary" sheetId="3" r:id="rId6"/>
    <sheet state="visible" name="Weekly Summary" sheetId="4" r:id="rId7"/>
  </sheets>
  <definedNames>
    <definedName hidden="1" localSheetId="1" name="_xlnm._FilterDatabase">'Test Log'!$A$1:$L$301</definedName>
  </definedNames>
  <calcPr/>
  <extLst>
    <ext uri="GoogleSheetsCustomDataVersion2">
      <go:sheetsCustomData xmlns:go="http://customooxmlschemas.google.com/" r:id="rId8" roundtripDataChecksum="Vw9tCHcI/I9QED7Km2RmQFrCzwrhp4RbPvsIg8RM/us="/>
    </ext>
  </extLst>
</workbook>
</file>

<file path=xl/sharedStrings.xml><?xml version="1.0" encoding="utf-8"?>
<sst xmlns="http://schemas.openxmlformats.org/spreadsheetml/2006/main" count="371" uniqueCount="343">
  <si>
    <t>Product</t>
  </si>
  <si>
    <t>Week</t>
  </si>
  <si>
    <t>Test ID</t>
  </si>
  <si>
    <t>How to use the Test Log</t>
  </si>
  <si>
    <t>Messages Tested</t>
  </si>
  <si>
    <t>Translation PASS</t>
  </si>
  <si>
    <t>Validation PASS</t>
  </si>
  <si>
    <t>Date</t>
  </si>
  <si>
    <t>Critical</t>
  </si>
  <si>
    <t>Major</t>
  </si>
  <si>
    <t>TAC Message / Reference</t>
  </si>
  <si>
    <t>Purpose</t>
  </si>
  <si>
    <t>Minor</t>
  </si>
  <si>
    <t>Translation Result</t>
  </si>
  <si>
    <t>METAR</t>
  </si>
  <si>
    <t>IWXXM Validation</t>
  </si>
  <si>
    <t>TAC vs IWXXM Accurate?</t>
  </si>
  <si>
    <t>Severity</t>
  </si>
  <si>
    <t>Issue / Comment</t>
  </si>
  <si>
    <t>Accuracy YES</t>
  </si>
  <si>
    <t>Screenshot / File Reference</t>
  </si>
  <si>
    <t>Retest Result</t>
  </si>
  <si>
    <t>T001(EXAMPLE-See Instructions Sheet)</t>
  </si>
  <si>
    <t>Week 1</t>
  </si>
  <si>
    <t>Familiarisation and basic functionality</t>
  </si>
  <si>
    <t>Enter one test per row on the 'Test Log' sheet. The Summary and Weekly Summary sheets calculate automatically from those entries.</t>
  </si>
  <si>
    <t>Use the drop-down lists for Week, Product, Translation Result, IWXXM Validation, Accuracy and Severity to ensure the formulas count results consistently.</t>
  </si>
  <si>
    <t>For a failed or questionable result, also complete an Error Report and reference the file/screenshot in the Test Log.</t>
  </si>
  <si>
    <t>TUPJ</t>
  </si>
  <si>
    <t>PASS</t>
  </si>
  <si>
    <t>YES</t>
  </si>
  <si>
    <t>None</t>
  </si>
  <si>
    <t>T002</t>
  </si>
  <si>
    <t>SPECI</t>
  </si>
  <si>
    <t>23/09/2026</t>
  </si>
  <si>
    <t>T003</t>
  </si>
  <si>
    <t>29/092026</t>
  </si>
  <si>
    <t>FAIL</t>
  </si>
  <si>
    <t>NO</t>
  </si>
  <si>
    <t>T004</t>
  </si>
  <si>
    <t>Week 2</t>
  </si>
  <si>
    <t>T005</t>
  </si>
  <si>
    <t>Operational parallel testing</t>
  </si>
  <si>
    <t>T006</t>
  </si>
  <si>
    <t>T007</t>
  </si>
  <si>
    <t>T008</t>
  </si>
  <si>
    <t>TAF</t>
  </si>
  <si>
    <t>T009</t>
  </si>
  <si>
    <t>T010</t>
  </si>
  <si>
    <t>T011</t>
  </si>
  <si>
    <t>T012</t>
  </si>
  <si>
    <t>Week 3</t>
  </si>
  <si>
    <t>T013</t>
  </si>
  <si>
    <t>Error testing and final evaluation</t>
  </si>
  <si>
    <t>T014</t>
  </si>
  <si>
    <t>SIGMET</t>
  </si>
  <si>
    <t>T015</t>
  </si>
  <si>
    <t>T016</t>
  </si>
  <si>
    <t>T017</t>
  </si>
  <si>
    <t>T018</t>
  </si>
  <si>
    <t>TOTAL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</si>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</sst>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Cambria"/>
    </font>
    <font>
      <color theme="1"/>
      <name val="Calibri"/>
      <scheme val="minor"/>
    </font>
    <font>
      <b/>
      <sz val="11.0"/>
      <color rgb="FFFF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/>
    </xf>
    <xf borderId="1" fillId="2" fontId="2" numFmtId="0" xfId="0" applyBorder="1" applyFill="1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  <xf borderId="0" fillId="0" fontId="5" numFmtId="14" xfId="0" applyFont="1" applyNumberFormat="1"/>
    <xf borderId="0" fillId="0" fontId="5" numFmtId="0" xfId="0" applyFon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5.0" customHeight="1">
      <c r="A1" s="6" t="s">
        <v>3</v>
      </c>
    </row>
    <row r="2" ht="27.75" customHeight="1">
      <c r="A2" s="8" t="s">
        <v>25</v>
      </c>
    </row>
    <row r="3" ht="27.75" customHeight="1">
      <c r="A3" s="8" t="s">
        <v>26</v>
      </c>
    </row>
    <row r="4" ht="15.0" customHeight="1">
      <c r="A4" s="8" t="s">
        <v>27</v>
      </c>
    </row>
    <row r="5">
      <c r="A5" s="10"/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 ht="15.75" customHeight="1">
      <c r="A21" s="10"/>
    </row>
    <row r="22" ht="15.75" customHeight="1">
      <c r="A22" s="10"/>
    </row>
    <row r="23" ht="15.75" customHeight="1">
      <c r="A23" s="10"/>
    </row>
    <row r="24" ht="15.75" customHeight="1">
      <c r="A24" s="10"/>
    </row>
    <row r="25" ht="15.75" customHeight="1">
      <c r="A25" s="10"/>
    </row>
    <row r="26" ht="15.75" customHeight="1">
      <c r="A26" s="10"/>
    </row>
    <row r="27" ht="15.75" customHeight="1">
      <c r="A27" s="10"/>
    </row>
    <row r="28" ht="15.75" customHeight="1">
      <c r="A28" s="10"/>
    </row>
    <row r="29" ht="15.75" customHeight="1">
      <c r="A29" s="10"/>
    </row>
    <row r="30" ht="15.75" customHeight="1">
      <c r="A30" s="10"/>
    </row>
    <row r="31" ht="15.75" customHeight="1">
      <c r="A31" s="10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12.0"/>
    <col customWidth="1" min="3" max="4" width="14.0"/>
    <col customWidth="1" min="5" max="5" width="32.0"/>
    <col customWidth="1" min="6" max="7" width="20.0"/>
    <col customWidth="1" min="8" max="8" width="25.0"/>
    <col customWidth="1" min="9" max="9" width="14.0"/>
    <col customWidth="1" min="10" max="10" width="42.0"/>
    <col customWidth="1" min="11" max="11" width="30.0"/>
    <col customWidth="1" min="12" max="12" width="20.0"/>
    <col customWidth="1" min="13" max="26" width="8.71"/>
  </cols>
  <sheetData>
    <row r="1" ht="27.75" customHeight="1">
      <c r="A1" s="2" t="s">
        <v>2</v>
      </c>
      <c r="B1" s="2" t="s">
        <v>1</v>
      </c>
      <c r="C1" s="2" t="s">
        <v>7</v>
      </c>
      <c r="D1" s="2" t="s">
        <v>0</v>
      </c>
      <c r="E1" s="2" t="s">
        <v>10</v>
      </c>
      <c r="F1" s="2" t="s">
        <v>13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20</v>
      </c>
      <c r="L1" s="2" t="s">
        <v>21</v>
      </c>
    </row>
    <row r="2" ht="30.0" customHeight="1">
      <c r="A2" s="7" t="s">
        <v>22</v>
      </c>
      <c r="B2" s="4" t="s">
        <v>23</v>
      </c>
      <c r="C2" s="9">
        <v>46273.0</v>
      </c>
      <c r="D2" s="4" t="s">
        <v>14</v>
      </c>
      <c r="E2" s="5" t="s">
        <v>28</v>
      </c>
      <c r="F2" s="4" t="s">
        <v>29</v>
      </c>
      <c r="G2" s="4" t="s">
        <v>29</v>
      </c>
      <c r="H2" s="4" t="s">
        <v>30</v>
      </c>
      <c r="I2" s="4" t="s">
        <v>31</v>
      </c>
      <c r="J2" s="10"/>
      <c r="K2" s="10"/>
      <c r="L2" s="10"/>
    </row>
    <row r="3" ht="15.0" customHeight="1">
      <c r="A3" s="4" t="s">
        <v>32</v>
      </c>
      <c r="B3" s="5" t="s">
        <v>23</v>
      </c>
      <c r="C3" s="11" t="s">
        <v>34</v>
      </c>
      <c r="D3" s="5" t="s">
        <v>14</v>
      </c>
      <c r="E3" s="5" t="s">
        <v>28</v>
      </c>
      <c r="F3" s="5" t="s">
        <v>29</v>
      </c>
      <c r="G3" s="5" t="s">
        <v>29</v>
      </c>
      <c r="H3" s="5" t="s">
        <v>30</v>
      </c>
      <c r="I3" s="4"/>
      <c r="J3" s="10"/>
      <c r="K3" s="10"/>
      <c r="L3" s="10"/>
    </row>
    <row r="4" ht="15.0" customHeight="1">
      <c r="A4" s="4" t="s">
        <v>35</v>
      </c>
      <c r="B4" s="12" t="s">
        <v>23</v>
      </c>
      <c r="C4" s="11" t="s">
        <v>36</v>
      </c>
      <c r="D4" s="12" t="s">
        <v>14</v>
      </c>
      <c r="E4" s="12" t="s">
        <v>28</v>
      </c>
      <c r="F4" s="12" t="s">
        <v>37</v>
      </c>
      <c r="G4" s="12" t="s">
        <v>37</v>
      </c>
      <c r="H4" s="12" t="s">
        <v>38</v>
      </c>
      <c r="I4" s="12" t="s">
        <v>12</v>
      </c>
      <c r="J4" s="10"/>
      <c r="K4" s="10"/>
      <c r="L4" s="10"/>
    </row>
    <row r="5" ht="15.0" customHeight="1">
      <c r="A5" s="4" t="s">
        <v>39</v>
      </c>
      <c r="B5" s="12" t="s">
        <v>40</v>
      </c>
      <c r="C5" s="13">
        <v>46213.0</v>
      </c>
      <c r="D5" s="12" t="s">
        <v>14</v>
      </c>
      <c r="E5" s="12" t="s">
        <v>28</v>
      </c>
      <c r="F5" s="12" t="s">
        <v>29</v>
      </c>
      <c r="G5" s="12" t="s">
        <v>29</v>
      </c>
      <c r="H5" s="12" t="s">
        <v>30</v>
      </c>
      <c r="I5" s="10"/>
      <c r="J5" s="10"/>
      <c r="K5" s="10"/>
      <c r="L5" s="10"/>
    </row>
    <row r="6" ht="15.0" customHeight="1">
      <c r="A6" s="4" t="s">
        <v>41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ht="15.0" customHeight="1">
      <c r="A7" s="4" t="s">
        <v>43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ht="15.0" customHeight="1">
      <c r="A8" s="4" t="s">
        <v>44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ht="15.0" customHeight="1">
      <c r="A9" s="4" t="s">
        <v>45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15.0" customHeight="1">
      <c r="A10" s="4" t="s">
        <v>47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15.0" customHeight="1">
      <c r="A11" s="4" t="s">
        <v>48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ht="15.0" customHeight="1">
      <c r="A12" s="4" t="s">
        <v>49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ht="15.0" customHeight="1">
      <c r="A13" s="4" t="s">
        <v>50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ht="15.0" customHeight="1">
      <c r="A14" s="4" t="s">
        <v>52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ht="15.0" customHeight="1">
      <c r="A15" s="4" t="s">
        <v>54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ht="15.0" customHeight="1">
      <c r="A16" s="4" t="s">
        <v>56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ht="15.0" customHeight="1">
      <c r="A17" s="4" t="s">
        <v>57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ht="15.0" customHeight="1">
      <c r="A18" s="4" t="s">
        <v>58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ht="15.0" customHeight="1">
      <c r="A19" s="4" t="s">
        <v>59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ht="15.0" customHeight="1">
      <c r="A20" s="4" t="s">
        <v>61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ht="15.0" customHeight="1">
      <c r="A21" s="4" t="s">
        <v>62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ht="15.0" customHeight="1">
      <c r="A22" s="4" t="s">
        <v>63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ht="15.0" customHeight="1">
      <c r="A23" s="4" t="s">
        <v>64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ht="15.0" customHeight="1">
      <c r="A24" s="4" t="s">
        <v>65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ht="15.0" customHeight="1">
      <c r="A25" s="4" t="s">
        <v>66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ht="15.0" customHeight="1">
      <c r="A26" s="4" t="s">
        <v>67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ht="15.0" customHeight="1">
      <c r="A27" s="4" t="s">
        <v>68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ht="15.0" customHeight="1">
      <c r="A28" s="4" t="s">
        <v>69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ht="15.0" customHeight="1">
      <c r="A29" s="4" t="s">
        <v>70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ht="15.0" customHeight="1">
      <c r="A30" s="4" t="s">
        <v>71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ht="15.0" customHeight="1">
      <c r="A31" s="4" t="s">
        <v>72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ht="15.0" customHeight="1">
      <c r="A32" s="4" t="s">
        <v>73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ht="15.0" customHeight="1">
      <c r="A33" s="4" t="s">
        <v>74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ht="15.0" customHeight="1">
      <c r="A34" s="4" t="s">
        <v>75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ht="15.0" customHeight="1">
      <c r="A35" s="4" t="s">
        <v>76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ht="15.0" customHeight="1">
      <c r="A36" s="4" t="s">
        <v>77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ht="15.0" customHeight="1">
      <c r="A37" s="4" t="s">
        <v>78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ht="15.0" customHeight="1">
      <c r="A38" s="4" t="s">
        <v>79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ht="15.0" customHeight="1">
      <c r="A39" s="4" t="s">
        <v>80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ht="15.0" customHeight="1">
      <c r="A40" s="4" t="s">
        <v>81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ht="15.0" customHeight="1">
      <c r="A41" s="4" t="s">
        <v>82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ht="15.0" customHeight="1">
      <c r="A42" s="4" t="s">
        <v>83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ht="15.0" customHeight="1">
      <c r="A43" s="4" t="s">
        <v>84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ht="15.0" customHeight="1">
      <c r="A44" s="4" t="s">
        <v>85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ht="15.0" customHeight="1">
      <c r="A45" s="4" t="s">
        <v>86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ht="15.0" customHeight="1">
      <c r="A46" s="4" t="s">
        <v>87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ht="15.0" customHeight="1">
      <c r="A47" s="4" t="s">
        <v>88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ht="15.0" customHeight="1">
      <c r="A48" s="4" t="s">
        <v>89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ht="15.0" customHeight="1">
      <c r="A49" s="4" t="s">
        <v>90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ht="15.0" customHeight="1">
      <c r="A50" s="4" t="s">
        <v>91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ht="15.0" customHeight="1">
      <c r="A51" s="4" t="s">
        <v>92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ht="15.0" customHeight="1">
      <c r="A52" s="4" t="s">
        <v>93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ht="15.0" customHeight="1">
      <c r="A53" s="4" t="s">
        <v>94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ht="15.0" customHeight="1">
      <c r="A54" s="4" t="s">
        <v>95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ht="15.0" customHeight="1">
      <c r="A55" s="4" t="s">
        <v>96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ht="15.0" customHeight="1">
      <c r="A56" s="4" t="s">
        <v>97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ht="15.0" customHeight="1">
      <c r="A57" s="4" t="s">
        <v>98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ht="15.0" customHeight="1">
      <c r="A58" s="4" t="s">
        <v>99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ht="15.0" customHeight="1">
      <c r="A59" s="4" t="s">
        <v>100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ht="15.0" customHeight="1">
      <c r="A60" s="4" t="s">
        <v>101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ht="15.0" customHeight="1">
      <c r="A61" s="4" t="s">
        <v>102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ht="15.0" customHeight="1">
      <c r="A62" s="4" t="s">
        <v>103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ht="15.0" customHeight="1">
      <c r="A63" s="4" t="s">
        <v>104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ht="15.0" customHeight="1">
      <c r="A64" s="4" t="s">
        <v>105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ht="15.0" customHeight="1">
      <c r="A65" s="4" t="s">
        <v>106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ht="15.0" customHeight="1">
      <c r="A66" s="4" t="s">
        <v>107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ht="15.0" customHeight="1">
      <c r="A67" s="4" t="s">
        <v>108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ht="15.0" customHeight="1">
      <c r="A68" s="4" t="s">
        <v>109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ht="15.0" customHeight="1">
      <c r="A69" s="4" t="s">
        <v>110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ht="15.0" customHeight="1">
      <c r="A70" s="4" t="s">
        <v>111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ht="15.0" customHeight="1">
      <c r="A71" s="4" t="s">
        <v>112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ht="15.0" customHeight="1">
      <c r="A72" s="4" t="s">
        <v>113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ht="15.0" customHeight="1">
      <c r="A73" s="4" t="s">
        <v>114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ht="15.0" customHeight="1">
      <c r="A74" s="4" t="s">
        <v>115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ht="15.0" customHeight="1">
      <c r="A75" s="4" t="s">
        <v>116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ht="15.0" customHeight="1">
      <c r="A76" s="4" t="s">
        <v>117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ht="15.0" customHeight="1">
      <c r="A77" s="4" t="s">
        <v>118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ht="15.0" customHeight="1">
      <c r="A78" s="4" t="s">
        <v>119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ht="15.0" customHeight="1">
      <c r="A79" s="4" t="s">
        <v>120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ht="15.0" customHeight="1">
      <c r="A80" s="4" t="s">
        <v>121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ht="15.0" customHeight="1">
      <c r="A81" s="4" t="s">
        <v>122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ht="15.0" customHeight="1">
      <c r="A82" s="4" t="s">
        <v>123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ht="15.0" customHeight="1">
      <c r="A83" s="4" t="s">
        <v>124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ht="15.0" customHeight="1">
      <c r="A84" s="4" t="s">
        <v>125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ht="15.0" customHeight="1">
      <c r="A85" s="4" t="s">
        <v>126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ht="15.0" customHeight="1">
      <c r="A86" s="4" t="s">
        <v>127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ht="15.0" customHeight="1">
      <c r="A87" s="4" t="s">
        <v>128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ht="15.0" customHeight="1">
      <c r="A88" s="4" t="s">
        <v>129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ht="15.0" customHeight="1">
      <c r="A89" s="4" t="s">
        <v>130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ht="15.0" customHeight="1">
      <c r="A90" s="4" t="s">
        <v>131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ht="15.0" customHeight="1">
      <c r="A91" s="4" t="s">
        <v>132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ht="15.0" customHeight="1">
      <c r="A92" s="4" t="s">
        <v>133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ht="15.0" customHeight="1">
      <c r="A93" s="4" t="s">
        <v>134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ht="15.0" customHeight="1">
      <c r="A94" s="4" t="s">
        <v>135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ht="15.0" customHeight="1">
      <c r="A95" s="4" t="s">
        <v>136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ht="15.0" customHeight="1">
      <c r="A96" s="4" t="s">
        <v>137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ht="15.0" customHeight="1">
      <c r="A97" s="4" t="s">
        <v>138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ht="15.0" customHeight="1">
      <c r="A98" s="4" t="s">
        <v>139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ht="15.0" customHeight="1">
      <c r="A99" s="4" t="s">
        <v>140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ht="15.0" customHeight="1">
      <c r="A100" s="4" t="s">
        <v>141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ht="15.0" customHeight="1">
      <c r="A101" s="4" t="s">
        <v>142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ht="15.0" customHeight="1">
      <c r="A102" s="4" t="s">
        <v>143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ht="15.0" customHeight="1">
      <c r="A103" s="4" t="s">
        <v>144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ht="15.0" customHeight="1">
      <c r="A104" s="4" t="s">
        <v>145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ht="15.0" customHeight="1">
      <c r="A105" s="4" t="s">
        <v>146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ht="15.0" customHeight="1">
      <c r="A106" s="4" t="s">
        <v>147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ht="15.0" customHeight="1">
      <c r="A107" s="4" t="s">
        <v>148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ht="15.0" customHeight="1">
      <c r="A108" s="4" t="s">
        <v>149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ht="15.0" customHeight="1">
      <c r="A109" s="4" t="s">
        <v>150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ht="15.0" customHeight="1">
      <c r="A110" s="4" t="s">
        <v>151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ht="15.0" customHeight="1">
      <c r="A111" s="4" t="s">
        <v>152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ht="15.0" customHeight="1">
      <c r="A112" s="4" t="s">
        <v>153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ht="15.0" customHeight="1">
      <c r="A113" s="4" t="s">
        <v>154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ht="15.0" customHeight="1">
      <c r="A114" s="4" t="s">
        <v>155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ht="15.0" customHeight="1">
      <c r="A115" s="4" t="s">
        <v>156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ht="15.0" customHeight="1">
      <c r="A116" s="4" t="s">
        <v>157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ht="15.0" customHeight="1">
      <c r="A117" s="4" t="s">
        <v>158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ht="15.0" customHeight="1">
      <c r="A118" s="4" t="s">
        <v>159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ht="15.0" customHeight="1">
      <c r="A119" s="4" t="s">
        <v>160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ht="15.0" customHeight="1">
      <c r="A120" s="4" t="s">
        <v>161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ht="15.0" customHeight="1">
      <c r="A121" s="4" t="s">
        <v>162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ht="15.0" customHeight="1">
      <c r="A122" s="4" t="s">
        <v>163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ht="15.0" customHeight="1">
      <c r="A123" s="4" t="s">
        <v>164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ht="15.0" customHeight="1">
      <c r="A124" s="4" t="s">
        <v>165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ht="15.0" customHeight="1">
      <c r="A125" s="4" t="s">
        <v>166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ht="15.0" customHeight="1">
      <c r="A126" s="4" t="s">
        <v>167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ht="15.0" customHeight="1">
      <c r="A127" s="4" t="s">
        <v>168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ht="15.0" customHeight="1">
      <c r="A128" s="4" t="s">
        <v>169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ht="15.0" customHeight="1">
      <c r="A129" s="4" t="s">
        <v>170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ht="15.0" customHeight="1">
      <c r="A130" s="4" t="s">
        <v>171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ht="15.0" customHeight="1">
      <c r="A131" s="4" t="s">
        <v>172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ht="15.0" customHeight="1">
      <c r="A132" s="4" t="s">
        <v>173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ht="15.0" customHeight="1">
      <c r="A133" s="4" t="s">
        <v>174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ht="15.0" customHeight="1">
      <c r="A134" s="4" t="s">
        <v>175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ht="15.0" customHeight="1">
      <c r="A135" s="4" t="s">
        <v>176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ht="15.0" customHeight="1">
      <c r="A136" s="4" t="s">
        <v>177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ht="15.0" customHeight="1">
      <c r="A137" s="4" t="s">
        <v>178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ht="15.0" customHeight="1">
      <c r="A138" s="4" t="s">
        <v>179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ht="15.0" customHeight="1">
      <c r="A139" s="4" t="s">
        <v>180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ht="15.0" customHeight="1">
      <c r="A140" s="4" t="s">
        <v>181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ht="15.0" customHeight="1">
      <c r="A141" s="4" t="s">
        <v>182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ht="15.0" customHeight="1">
      <c r="A142" s="4" t="s">
        <v>183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ht="15.0" customHeight="1">
      <c r="A143" s="4" t="s">
        <v>184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ht="15.0" customHeight="1">
      <c r="A144" s="4" t="s">
        <v>185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ht="15.0" customHeight="1">
      <c r="A145" s="4" t="s">
        <v>186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ht="15.0" customHeight="1">
      <c r="A146" s="4" t="s">
        <v>187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ht="15.0" customHeight="1">
      <c r="A147" s="4" t="s">
        <v>188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ht="15.0" customHeight="1">
      <c r="A148" s="4" t="s">
        <v>189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ht="15.0" customHeight="1">
      <c r="A149" s="4" t="s">
        <v>190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ht="15.0" customHeight="1">
      <c r="A150" s="4" t="s">
        <v>191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ht="15.0" customHeight="1">
      <c r="A151" s="4" t="s">
        <v>192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ht="15.0" customHeight="1">
      <c r="A152" s="4" t="s">
        <v>193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ht="15.0" customHeight="1">
      <c r="A153" s="4" t="s">
        <v>194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ht="15.0" customHeight="1">
      <c r="A154" s="4" t="s">
        <v>195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ht="15.0" customHeight="1">
      <c r="A155" s="4" t="s">
        <v>196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ht="15.0" customHeight="1">
      <c r="A156" s="4" t="s">
        <v>197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ht="15.0" customHeight="1">
      <c r="A157" s="4" t="s">
        <v>198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ht="15.0" customHeight="1">
      <c r="A158" s="4" t="s">
        <v>199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ht="15.0" customHeight="1">
      <c r="A159" s="4" t="s">
        <v>200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ht="15.0" customHeight="1">
      <c r="A160" s="4" t="s">
        <v>201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ht="15.0" customHeight="1">
      <c r="A161" s="4" t="s">
        <v>202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ht="15.0" customHeight="1">
      <c r="A162" s="4" t="s">
        <v>203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ht="15.0" customHeight="1">
      <c r="A163" s="4" t="s">
        <v>204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ht="15.0" customHeight="1">
      <c r="A164" s="4" t="s">
        <v>205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ht="15.0" customHeight="1">
      <c r="A165" s="4" t="s">
        <v>206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ht="15.0" customHeight="1">
      <c r="A166" s="4" t="s">
        <v>207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ht="15.0" customHeight="1">
      <c r="A167" s="4" t="s">
        <v>208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ht="15.0" customHeight="1">
      <c r="A168" s="4" t="s">
        <v>209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ht="15.0" customHeight="1">
      <c r="A169" s="4" t="s">
        <v>210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ht="15.0" customHeight="1">
      <c r="A170" s="4" t="s">
        <v>211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ht="15.0" customHeight="1">
      <c r="A171" s="4" t="s">
        <v>212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ht="15.0" customHeight="1">
      <c r="A172" s="4" t="s">
        <v>213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ht="15.0" customHeight="1">
      <c r="A173" s="4" t="s">
        <v>214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ht="15.0" customHeight="1">
      <c r="A174" s="4" t="s">
        <v>215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ht="15.0" customHeight="1">
      <c r="A175" s="4" t="s">
        <v>216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ht="15.0" customHeight="1">
      <c r="A176" s="4" t="s">
        <v>217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ht="15.0" customHeight="1">
      <c r="A177" s="4" t="s">
        <v>218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ht="15.0" customHeight="1">
      <c r="A178" s="4" t="s">
        <v>219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ht="15.0" customHeight="1">
      <c r="A179" s="4" t="s">
        <v>220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ht="15.0" customHeight="1">
      <c r="A180" s="4" t="s">
        <v>221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ht="15.0" customHeight="1">
      <c r="A181" s="4" t="s">
        <v>222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ht="15.0" customHeight="1">
      <c r="A182" s="4" t="s">
        <v>223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ht="15.0" customHeight="1">
      <c r="A183" s="4" t="s">
        <v>224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ht="15.0" customHeight="1">
      <c r="A184" s="4" t="s">
        <v>225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ht="15.0" customHeight="1">
      <c r="A185" s="4" t="s">
        <v>226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ht="15.0" customHeight="1">
      <c r="A186" s="4" t="s">
        <v>227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ht="15.0" customHeight="1">
      <c r="A187" s="4" t="s">
        <v>228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ht="15.0" customHeight="1">
      <c r="A188" s="4" t="s">
        <v>229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ht="15.0" customHeight="1">
      <c r="A189" s="4" t="s">
        <v>230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ht="15.0" customHeight="1">
      <c r="A190" s="4" t="s">
        <v>231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ht="15.0" customHeight="1">
      <c r="A191" s="4" t="s">
        <v>232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ht="15.0" customHeight="1">
      <c r="A192" s="4" t="s">
        <v>233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ht="15.0" customHeight="1">
      <c r="A193" s="4" t="s">
        <v>234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ht="15.0" customHeight="1">
      <c r="A194" s="4" t="s">
        <v>235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ht="15.0" customHeight="1">
      <c r="A195" s="4" t="s">
        <v>236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ht="15.0" customHeight="1">
      <c r="A196" s="4" t="s">
        <v>237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ht="15.0" customHeight="1">
      <c r="A197" s="4" t="s">
        <v>238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ht="15.0" customHeight="1">
      <c r="A198" s="4" t="s">
        <v>239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ht="15.0" customHeight="1">
      <c r="A199" s="4" t="s">
        <v>240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ht="15.0" customHeight="1">
      <c r="A200" s="4" t="s">
        <v>241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ht="15.0" customHeight="1">
      <c r="A201" s="4" t="s">
        <v>242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ht="15.0" customHeight="1">
      <c r="A202" s="4" t="s">
        <v>243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ht="15.0" customHeight="1">
      <c r="A203" s="4" t="s">
        <v>244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ht="15.0" customHeight="1">
      <c r="A204" s="4" t="s">
        <v>245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ht="15.0" customHeight="1">
      <c r="A205" s="4" t="s">
        <v>246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ht="15.0" customHeight="1">
      <c r="A206" s="4" t="s">
        <v>247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ht="15.0" customHeight="1">
      <c r="A207" s="4" t="s">
        <v>248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ht="15.0" customHeight="1">
      <c r="A208" s="4" t="s">
        <v>249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ht="15.0" customHeight="1">
      <c r="A209" s="4" t="s">
        <v>250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ht="15.0" customHeight="1">
      <c r="A210" s="4" t="s">
        <v>251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ht="15.0" customHeight="1">
      <c r="A211" s="4" t="s">
        <v>252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ht="15.0" customHeight="1">
      <c r="A212" s="4" t="s">
        <v>253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ht="15.0" customHeight="1">
      <c r="A213" s="4" t="s">
        <v>254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ht="15.0" customHeight="1">
      <c r="A214" s="4" t="s">
        <v>255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ht="15.0" customHeight="1">
      <c r="A215" s="4" t="s">
        <v>256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ht="15.0" customHeight="1">
      <c r="A216" s="4" t="s">
        <v>257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ht="15.0" customHeight="1">
      <c r="A217" s="4" t="s">
        <v>258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ht="15.0" customHeight="1">
      <c r="A218" s="4" t="s">
        <v>259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ht="15.0" customHeight="1">
      <c r="A219" s="4" t="s">
        <v>260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ht="15.0" customHeight="1">
      <c r="A220" s="4" t="s">
        <v>261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ht="15.0" customHeight="1">
      <c r="A221" s="4" t="s">
        <v>262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ht="15.0" customHeight="1">
      <c r="A222" s="4" t="s">
        <v>263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ht="15.0" customHeight="1">
      <c r="A223" s="4" t="s">
        <v>264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ht="15.0" customHeight="1">
      <c r="A224" s="4" t="s">
        <v>265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ht="15.0" customHeight="1">
      <c r="A225" s="4" t="s">
        <v>266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ht="15.0" customHeight="1">
      <c r="A226" s="4" t="s">
        <v>267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ht="15.0" customHeight="1">
      <c r="A227" s="4" t="s">
        <v>268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ht="15.0" customHeight="1">
      <c r="A228" s="4" t="s">
        <v>269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ht="15.0" customHeight="1">
      <c r="A229" s="4" t="s">
        <v>270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ht="15.0" customHeight="1">
      <c r="A230" s="4" t="s">
        <v>271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ht="15.0" customHeight="1">
      <c r="A231" s="4" t="s">
        <v>272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ht="15.0" customHeight="1">
      <c r="A232" s="4" t="s">
        <v>273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ht="15.0" customHeight="1">
      <c r="A233" s="4" t="s">
        <v>274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ht="15.0" customHeight="1">
      <c r="A234" s="4" t="s">
        <v>275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ht="15.0" customHeight="1">
      <c r="A235" s="4" t="s">
        <v>276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ht="15.0" customHeight="1">
      <c r="A236" s="4" t="s">
        <v>277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ht="15.0" customHeight="1">
      <c r="A237" s="4" t="s">
        <v>278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ht="15.0" customHeight="1">
      <c r="A238" s="4" t="s">
        <v>279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ht="15.0" customHeight="1">
      <c r="A239" s="4" t="s">
        <v>280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ht="15.0" customHeight="1">
      <c r="A240" s="4" t="s">
        <v>281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ht="15.0" customHeight="1">
      <c r="A241" s="4" t="s">
        <v>282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ht="15.0" customHeight="1">
      <c r="A242" s="4" t="s">
        <v>283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ht="15.0" customHeight="1">
      <c r="A243" s="4" t="s">
        <v>284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ht="15.0" customHeight="1">
      <c r="A244" s="4" t="s">
        <v>285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ht="15.0" customHeight="1">
      <c r="A245" s="4" t="s">
        <v>286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ht="15.0" customHeight="1">
      <c r="A246" s="4" t="s">
        <v>287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ht="15.0" customHeight="1">
      <c r="A247" s="4" t="s">
        <v>288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ht="15.0" customHeight="1">
      <c r="A248" s="4" t="s">
        <v>289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ht="15.0" customHeight="1">
      <c r="A249" s="4" t="s">
        <v>290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ht="15.0" customHeight="1">
      <c r="A250" s="4" t="s">
        <v>291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ht="15.0" customHeight="1">
      <c r="A251" s="4" t="s">
        <v>292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ht="15.0" customHeight="1">
      <c r="A252" s="4" t="s">
        <v>293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ht="15.0" customHeight="1">
      <c r="A253" s="4" t="s">
        <v>294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ht="15.0" customHeight="1">
      <c r="A254" s="4" t="s">
        <v>295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ht="15.0" customHeight="1">
      <c r="A255" s="4" t="s">
        <v>296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ht="15.0" customHeight="1">
      <c r="A256" s="4" t="s">
        <v>297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ht="15.0" customHeight="1">
      <c r="A257" s="4" t="s">
        <v>298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ht="15.0" customHeight="1">
      <c r="A258" s="4" t="s">
        <v>299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ht="15.0" customHeight="1">
      <c r="A259" s="4" t="s">
        <v>300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ht="15.0" customHeight="1">
      <c r="A260" s="4" t="s">
        <v>301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ht="15.0" customHeight="1">
      <c r="A261" s="4" t="s">
        <v>302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ht="15.0" customHeight="1">
      <c r="A262" s="4" t="s">
        <v>303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ht="15.0" customHeight="1">
      <c r="A263" s="4" t="s">
        <v>304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ht="15.0" customHeight="1">
      <c r="A264" s="4" t="s">
        <v>305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ht="15.0" customHeight="1">
      <c r="A265" s="4" t="s">
        <v>306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ht="15.0" customHeight="1">
      <c r="A266" s="4" t="s">
        <v>307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ht="15.0" customHeight="1">
      <c r="A267" s="4" t="s">
        <v>308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ht="15.0" customHeight="1">
      <c r="A268" s="4" t="s">
        <v>309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ht="15.0" customHeight="1">
      <c r="A269" s="4" t="s">
        <v>310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ht="15.0" customHeight="1">
      <c r="A270" s="4" t="s">
        <v>311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ht="15.0" customHeight="1">
      <c r="A271" s="4" t="s">
        <v>312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ht="15.0" customHeight="1">
      <c r="A272" s="4" t="s">
        <v>313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ht="15.0" customHeight="1">
      <c r="A273" s="4" t="s">
        <v>314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ht="15.0" customHeight="1">
      <c r="A274" s="4" t="s">
        <v>315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ht="15.0" customHeight="1">
      <c r="A275" s="4" t="s">
        <v>316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ht="15.0" customHeight="1">
      <c r="A276" s="4" t="s">
        <v>317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ht="15.0" customHeight="1">
      <c r="A277" s="4" t="s">
        <v>318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ht="15.0" customHeight="1">
      <c r="A278" s="4" t="s">
        <v>319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ht="15.0" customHeight="1">
      <c r="A279" s="4" t="s">
        <v>320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ht="15.0" customHeight="1">
      <c r="A280" s="4" t="s">
        <v>321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ht="15.0" customHeight="1">
      <c r="A281" s="4" t="s">
        <v>322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ht="15.0" customHeight="1">
      <c r="A282" s="4" t="s">
        <v>323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ht="15.0" customHeight="1">
      <c r="A283" s="4" t="s">
        <v>324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ht="15.0" customHeight="1">
      <c r="A284" s="4" t="s">
        <v>325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ht="15.0" customHeight="1">
      <c r="A285" s="4" t="s">
        <v>326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ht="15.0" customHeight="1">
      <c r="A286" s="4" t="s">
        <v>327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ht="15.0" customHeight="1">
      <c r="A287" s="4" t="s">
        <v>328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ht="15.0" customHeight="1">
      <c r="A288" s="4" t="s">
        <v>329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ht="15.0" customHeight="1">
      <c r="A289" s="4" t="s">
        <v>330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ht="15.0" customHeight="1">
      <c r="A290" s="4" t="s">
        <v>331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ht="15.0" customHeight="1">
      <c r="A291" s="4" t="s">
        <v>332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ht="15.0" customHeight="1">
      <c r="A292" s="4" t="s">
        <v>333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ht="15.0" customHeight="1">
      <c r="A293" s="4" t="s">
        <v>334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ht="15.0" customHeight="1">
      <c r="A294" s="4" t="s">
        <v>335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ht="15.0" customHeight="1">
      <c r="A295" s="4" t="s">
        <v>336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ht="15.0" customHeight="1">
      <c r="A296" s="4" t="s">
        <v>337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ht="15.0" customHeight="1">
      <c r="A297" s="4" t="s">
        <v>338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ht="15.0" customHeight="1">
      <c r="A298" s="4" t="s">
        <v>339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ht="15.0" customHeight="1">
      <c r="A299" s="4" t="s">
        <v>340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ht="15.0" customHeight="1">
      <c r="A300" s="4" t="s">
        <v>341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ht="15.0" customHeight="1">
      <c r="A301" s="4" t="s">
        <v>342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</sheetData>
  <autoFilter ref="$A$1:$L$301"/>
  <dataValidations>
    <dataValidation type="list" allowBlank="1" sqref="L2:L301">
      <formula1>"PASS,FAIL,NOT RETESTED"</formula1>
    </dataValidation>
    <dataValidation type="list" allowBlank="1" sqref="I2:I301">
      <formula1>"Critical,Major,Minor,None"</formula1>
    </dataValidation>
    <dataValidation type="list" allowBlank="1" sqref="F2:G301">
      <formula1>"PASS,FAIL,NOT TESTED"</formula1>
    </dataValidation>
    <dataValidation type="list" allowBlank="1" sqref="H2:H301">
      <formula1>"YES,NO,UNCERTAIN"</formula1>
    </dataValidation>
    <dataValidation type="list" allowBlank="1" sqref="B2:B301">
      <formula1>"Week 1,Week 2,Week 3"</formula1>
    </dataValidation>
    <dataValidation type="list" allowBlank="1" sqref="D2:D301">
      <formula1>"METAR,SPECI,TAF,SIGMET"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5" width="18.0"/>
    <col customWidth="1" min="6" max="8" width="14.0"/>
    <col customWidth="1" min="9" max="26" width="8.71"/>
  </cols>
  <sheetData>
    <row r="1" ht="15.0" customHeight="1">
      <c r="A1" s="1" t="s">
        <v>0</v>
      </c>
      <c r="B1" s="1" t="s">
        <v>4</v>
      </c>
      <c r="C1" s="1" t="s">
        <v>5</v>
      </c>
      <c r="D1" s="1" t="s">
        <v>6</v>
      </c>
      <c r="E1" s="3">
        <v>0.0</v>
      </c>
      <c r="F1" s="1" t="s">
        <v>8</v>
      </c>
      <c r="G1" s="1" t="s">
        <v>9</v>
      </c>
      <c r="H1" s="1" t="s">
        <v>12</v>
      </c>
    </row>
    <row r="2" ht="15.0" customHeight="1">
      <c r="A2" s="4" t="s">
        <v>14</v>
      </c>
      <c r="B2" s="5">
        <v>3.0</v>
      </c>
      <c r="C2" s="5">
        <v>2.0</v>
      </c>
      <c r="D2" s="5">
        <v>2.0</v>
      </c>
      <c r="E2" s="5">
        <v>2.0</v>
      </c>
      <c r="F2" s="4">
        <f>COUNTIFS('Test Log'!$D$2:$D$1000,A2,'Test Log'!$I$2:$I$1000,"Critical")</f>
        <v>0</v>
      </c>
      <c r="G2" s="5">
        <v>1.0</v>
      </c>
      <c r="H2" s="5">
        <v>1.0</v>
      </c>
    </row>
    <row r="3" ht="15.0" customHeight="1">
      <c r="A3" s="4" t="s">
        <v>33</v>
      </c>
      <c r="B3" s="4">
        <f>COUNTIF('Test Log'!$D$2:$D$1000,A3)</f>
        <v>0</v>
      </c>
      <c r="C3" s="4">
        <f>COUNTIFS('Test Log'!$D$2:$D$1000,A3,'Test Log'!$F$2:$F$1000,"PASS")</f>
        <v>0</v>
      </c>
      <c r="D3" s="4">
        <f>COUNTIFS('Test Log'!$D$2:$D$1000,A3,'Test Log'!$G$2:$G$1000,"PASS")</f>
        <v>0</v>
      </c>
      <c r="E3" s="4">
        <f>COUNTIFS('Test Log'!$D$2:$D$1000,A3,'Test Log'!$H$2:$H$1000,"YES")</f>
        <v>0</v>
      </c>
      <c r="F3" s="4">
        <f>COUNTIFS('Test Log'!$D$2:$D$1000,A3,'Test Log'!$I$2:$I$1000,"Critical")</f>
        <v>0</v>
      </c>
      <c r="G3" s="4">
        <f>COUNTIFS('Test Log'!$D$2:$D$1000,A3,'Test Log'!$I$2:$I$1000,"Major")</f>
        <v>0</v>
      </c>
      <c r="H3" s="4">
        <f>COUNTIFS('Test Log'!$D$2:$D$1000,A3,'Test Log'!$I$2:$I$1000,"Minor")</f>
        <v>0</v>
      </c>
    </row>
    <row r="4" ht="15.0" customHeight="1">
      <c r="A4" s="4" t="s">
        <v>46</v>
      </c>
      <c r="B4" s="4">
        <f>COUNTIF('Test Log'!$D$2:$D$1000,A4)</f>
        <v>0</v>
      </c>
      <c r="C4" s="4">
        <f>COUNTIFS('Test Log'!$D$2:$D$1000,A4,'Test Log'!$F$2:$F$1000,"PASS")</f>
        <v>0</v>
      </c>
      <c r="D4" s="4">
        <f>COUNTIFS('Test Log'!$D$2:$D$1000,A4,'Test Log'!$G$2:$G$1000,"PASS")</f>
        <v>0</v>
      </c>
      <c r="E4" s="4">
        <f>COUNTIFS('Test Log'!$D$2:$D$1000,A4,'Test Log'!$H$2:$H$1000,"YES")</f>
        <v>0</v>
      </c>
      <c r="F4" s="4">
        <f>COUNTIFS('Test Log'!$D$2:$D$1000,A4,'Test Log'!$I$2:$I$1000,"Critical")</f>
        <v>0</v>
      </c>
      <c r="G4" s="4">
        <f>COUNTIFS('Test Log'!$D$2:$D$1000,A4,'Test Log'!$I$2:$I$1000,"Major")</f>
        <v>0</v>
      </c>
      <c r="H4" s="4">
        <f>COUNTIFS('Test Log'!$D$2:$D$1000,A4,'Test Log'!$I$2:$I$1000,"Minor")</f>
        <v>0</v>
      </c>
    </row>
    <row r="5" ht="15.0" customHeight="1">
      <c r="A5" s="4" t="s">
        <v>55</v>
      </c>
      <c r="B5" s="5">
        <v>0.0</v>
      </c>
      <c r="C5" s="5">
        <v>0.0</v>
      </c>
      <c r="D5" s="5">
        <v>0.0</v>
      </c>
      <c r="E5" s="5">
        <v>0.0</v>
      </c>
      <c r="F5" s="4">
        <f>COUNTIFS('Test Log'!$D$2:$D$1000,A5,'Test Log'!$I$2:$I$1000,"Critical")</f>
        <v>0</v>
      </c>
      <c r="G5" s="4">
        <f>COUNTIFS('Test Log'!$D$2:$D$1000,A5,'Test Log'!$I$2:$I$1000,"Major")</f>
        <v>0</v>
      </c>
      <c r="H5" s="4">
        <f>COUNTIFS('Test Log'!$D$2:$D$1000,A5,'Test Log'!$I$2:$I$1000,"Minor")</f>
        <v>0</v>
      </c>
    </row>
    <row r="6" ht="15.0" customHeight="1">
      <c r="A6" s="4" t="s">
        <v>60</v>
      </c>
      <c r="B6" s="4">
        <f t="shared" ref="B6:G6" si="1">SUM(B2:B5)</f>
        <v>3</v>
      </c>
      <c r="C6" s="4">
        <f t="shared" si="1"/>
        <v>2</v>
      </c>
      <c r="D6" s="4">
        <f t="shared" si="1"/>
        <v>2</v>
      </c>
      <c r="E6" s="4">
        <f t="shared" si="1"/>
        <v>2</v>
      </c>
      <c r="F6" s="4">
        <f t="shared" si="1"/>
        <v>0</v>
      </c>
      <c r="G6" s="4">
        <f t="shared" si="1"/>
        <v>1</v>
      </c>
      <c r="H6" s="5">
        <v>1.0</v>
      </c>
    </row>
    <row r="7">
      <c r="A7" s="10"/>
      <c r="B7" s="10"/>
      <c r="C7" s="10"/>
      <c r="D7" s="10"/>
      <c r="E7" s="10"/>
      <c r="F7" s="10"/>
      <c r="G7" s="10"/>
      <c r="H7" s="10"/>
    </row>
    <row r="8">
      <c r="A8" s="10"/>
      <c r="B8" s="10"/>
      <c r="C8" s="10"/>
      <c r="D8" s="10"/>
      <c r="E8" s="10"/>
      <c r="F8" s="10"/>
      <c r="G8" s="10"/>
      <c r="H8" s="10"/>
    </row>
    <row r="9">
      <c r="A9" s="10"/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0"/>
      <c r="B12" s="10"/>
      <c r="C12" s="10"/>
      <c r="D12" s="10"/>
      <c r="E12" s="10"/>
      <c r="F12" s="10"/>
      <c r="G12" s="10"/>
      <c r="H12" s="10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  <row r="17">
      <c r="A17" s="10"/>
      <c r="B17" s="10"/>
      <c r="C17" s="10"/>
      <c r="D17" s="10"/>
      <c r="E17" s="10"/>
      <c r="F17" s="10"/>
      <c r="G17" s="10"/>
      <c r="H17" s="10"/>
    </row>
    <row r="18">
      <c r="A18" s="10"/>
      <c r="B18" s="10"/>
      <c r="C18" s="10"/>
      <c r="D18" s="10"/>
      <c r="E18" s="10"/>
      <c r="F18" s="10"/>
      <c r="G18" s="10"/>
      <c r="H18" s="10"/>
    </row>
    <row r="19">
      <c r="A19" s="10"/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0.0"/>
    <col customWidth="1" min="3" max="5" width="18.0"/>
    <col customWidth="1" min="6" max="6" width="16.0"/>
    <col customWidth="1" min="7" max="9" width="14.0"/>
    <col customWidth="1" min="10" max="26" width="8.71"/>
  </cols>
  <sheetData>
    <row r="1" ht="15.0" customHeight="1">
      <c r="A1" s="1" t="s">
        <v>1</v>
      </c>
      <c r="B1" s="1" t="s">
        <v>11</v>
      </c>
      <c r="C1" s="1" t="s">
        <v>4</v>
      </c>
      <c r="D1" s="1" t="s">
        <v>5</v>
      </c>
      <c r="E1" s="1" t="s">
        <v>6</v>
      </c>
      <c r="F1" s="1" t="s">
        <v>19</v>
      </c>
      <c r="G1" s="1" t="s">
        <v>8</v>
      </c>
      <c r="H1" s="1" t="s">
        <v>9</v>
      </c>
      <c r="I1" s="1" t="s">
        <v>12</v>
      </c>
    </row>
    <row r="2" ht="15.0" customHeight="1">
      <c r="A2" s="4" t="s">
        <v>23</v>
      </c>
      <c r="B2" s="4" t="s">
        <v>24</v>
      </c>
      <c r="C2" s="5">
        <v>2.0</v>
      </c>
      <c r="D2" s="5">
        <v>1.0</v>
      </c>
      <c r="E2" s="4">
        <f>COUNTIFS('Test Log'!$B$2:$B$1000,A2,'Test Log'!$G$2:$G$1000,"PASS")</f>
        <v>2</v>
      </c>
      <c r="F2" s="4">
        <f>COUNTIFS('Test Log'!$B$2:$B$1000,A2,'Test Log'!$H$2:$H$1000,"YES")</f>
        <v>2</v>
      </c>
      <c r="G2" s="4">
        <f>COUNTIFS('Test Log'!$B$2:$B$1000,A2,'Test Log'!$I$2:$I$1000,"Critical")</f>
        <v>0</v>
      </c>
      <c r="H2" s="5">
        <v>1.0</v>
      </c>
      <c r="I2" s="4">
        <f>COUNTIFS('Test Log'!$B$2:$B$1000,A2,'Test Log'!$I$2:$I$1000,"Minor")</f>
        <v>1</v>
      </c>
    </row>
    <row r="3" ht="15.0" customHeight="1">
      <c r="A3" s="4" t="s">
        <v>40</v>
      </c>
      <c r="B3" s="4" t="s">
        <v>42</v>
      </c>
      <c r="C3" s="4">
        <f>COUNTIF('Test Log'!$B$2:$B$1000,A3)</f>
        <v>1</v>
      </c>
      <c r="D3" s="4">
        <f>COUNTIFS('Test Log'!$B$2:$B$1000,A3,'Test Log'!$F$2:$F$1000,"PASS")</f>
        <v>1</v>
      </c>
      <c r="E3" s="4">
        <f>COUNTIFS('Test Log'!$B$2:$B$1000,A3,'Test Log'!$G$2:$G$1000,"PASS")</f>
        <v>1</v>
      </c>
      <c r="F3" s="4">
        <f>COUNTIFS('Test Log'!$B$2:$B$1000,A3,'Test Log'!$H$2:$H$1000,"YES")</f>
        <v>1</v>
      </c>
      <c r="G3" s="4">
        <f>COUNTIFS('Test Log'!$B$2:$B$1000,A3,'Test Log'!$I$2:$I$1000,"Critical")</f>
        <v>0</v>
      </c>
      <c r="H3" s="4">
        <f>COUNTIFS('Test Log'!$B$2:$B$1000,A3,'Test Log'!$I$2:$I$1000,"Major")</f>
        <v>0</v>
      </c>
      <c r="I3" s="4">
        <f>COUNTIFS('Test Log'!$B$2:$B$1000,A3,'Test Log'!$I$2:$I$1000,"Minor")</f>
        <v>0</v>
      </c>
    </row>
    <row r="4" ht="15.0" customHeight="1">
      <c r="A4" s="4" t="s">
        <v>51</v>
      </c>
      <c r="B4" s="4" t="s">
        <v>53</v>
      </c>
      <c r="C4" s="5">
        <v>2.0</v>
      </c>
      <c r="D4" s="5">
        <v>1.0</v>
      </c>
      <c r="E4" s="5">
        <v>1.0</v>
      </c>
      <c r="F4" s="5">
        <v>1.0</v>
      </c>
      <c r="G4" s="4">
        <f>COUNTIFS('Test Log'!$B$2:$B$1000,A4,'Test Log'!$I$2:$I$1000,"Critical")</f>
        <v>0</v>
      </c>
      <c r="H4" s="5">
        <v>1.0</v>
      </c>
      <c r="I4" s="4">
        <f>COUNTIFS('Test Log'!$B$2:$B$1000,A4,'Test Log'!$I$2:$I$1000,"Minor")</f>
        <v>0</v>
      </c>
    </row>
    <row r="5">
      <c r="A5" s="10"/>
      <c r="B5" s="10"/>
      <c r="C5" s="10"/>
      <c r="D5" s="10"/>
      <c r="E5" s="10"/>
      <c r="F5" s="10"/>
      <c r="G5" s="10"/>
      <c r="H5" s="10"/>
      <c r="I5" s="10"/>
    </row>
    <row r="6">
      <c r="A6" s="10"/>
      <c r="B6" s="10"/>
      <c r="C6" s="10"/>
      <c r="D6" s="10"/>
      <c r="E6" s="10"/>
      <c r="F6" s="10"/>
      <c r="G6" s="10"/>
      <c r="H6" s="10"/>
      <c r="I6" s="10"/>
    </row>
    <row r="7">
      <c r="A7" s="10"/>
      <c r="B7" s="10"/>
      <c r="C7" s="10"/>
      <c r="D7" s="10"/>
      <c r="E7" s="10"/>
      <c r="F7" s="10"/>
      <c r="G7" s="10"/>
      <c r="H7" s="10"/>
      <c r="I7" s="10"/>
    </row>
    <row r="8">
      <c r="A8" s="10"/>
      <c r="B8" s="10"/>
      <c r="C8" s="10"/>
      <c r="D8" s="10"/>
      <c r="E8" s="10"/>
      <c r="F8" s="10"/>
      <c r="G8" s="10"/>
      <c r="H8" s="10"/>
      <c r="I8" s="10"/>
    </row>
    <row r="9">
      <c r="A9" s="10"/>
      <c r="B9" s="10"/>
      <c r="C9" s="10"/>
      <c r="D9" s="10"/>
      <c r="E9" s="10"/>
      <c r="F9" s="10"/>
      <c r="G9" s="10"/>
      <c r="H9" s="10"/>
      <c r="I9" s="10"/>
    </row>
    <row r="10">
      <c r="A10" s="10"/>
      <c r="B10" s="10"/>
      <c r="C10" s="10"/>
      <c r="D10" s="10"/>
      <c r="E10" s="10"/>
      <c r="F10" s="10"/>
      <c r="G10" s="10"/>
      <c r="H10" s="10"/>
      <c r="I10" s="10"/>
    </row>
    <row r="11">
      <c r="A11" s="10"/>
      <c r="B11" s="10"/>
      <c r="C11" s="10"/>
      <c r="D11" s="10"/>
      <c r="E11" s="10"/>
      <c r="F11" s="10"/>
      <c r="G11" s="10"/>
      <c r="H11" s="10"/>
      <c r="I11" s="10"/>
    </row>
    <row r="12">
      <c r="A12" s="10"/>
      <c r="B12" s="10"/>
      <c r="C12" s="10"/>
      <c r="D12" s="10"/>
      <c r="E12" s="10"/>
      <c r="F12" s="10"/>
      <c r="G12" s="10"/>
      <c r="H12" s="10"/>
      <c r="I12" s="10"/>
    </row>
    <row r="13">
      <c r="A13" s="10"/>
      <c r="B13" s="10"/>
      <c r="C13" s="10"/>
      <c r="D13" s="10"/>
      <c r="E13" s="10"/>
      <c r="F13" s="10"/>
      <c r="G13" s="10"/>
      <c r="H13" s="10"/>
      <c r="I13" s="10"/>
    </row>
    <row r="14">
      <c r="A14" s="10"/>
      <c r="B14" s="10"/>
      <c r="C14" s="10"/>
      <c r="D14" s="10"/>
      <c r="E14" s="10"/>
      <c r="F14" s="10"/>
      <c r="G14" s="10"/>
      <c r="H14" s="10"/>
      <c r="I14" s="10"/>
    </row>
    <row r="15">
      <c r="A15" s="10"/>
      <c r="B15" s="10"/>
      <c r="C15" s="10"/>
      <c r="D15" s="10"/>
      <c r="E15" s="10"/>
      <c r="F15" s="10"/>
      <c r="G15" s="10"/>
      <c r="H15" s="10"/>
      <c r="I15" s="10"/>
    </row>
    <row r="16">
      <c r="A16" s="10"/>
      <c r="B16" s="10"/>
      <c r="C16" s="10"/>
      <c r="D16" s="10"/>
      <c r="E16" s="10"/>
      <c r="F16" s="10"/>
      <c r="G16" s="10"/>
      <c r="H16" s="10"/>
      <c r="I16" s="10"/>
    </row>
    <row r="17">
      <c r="A17" s="10"/>
      <c r="B17" s="10"/>
      <c r="C17" s="10"/>
      <c r="D17" s="10"/>
      <c r="E17" s="10"/>
      <c r="F17" s="10"/>
      <c r="G17" s="10"/>
      <c r="H17" s="10"/>
      <c r="I17" s="10"/>
    </row>
    <row r="18">
      <c r="A18" s="10"/>
      <c r="B18" s="10"/>
      <c r="C18" s="10"/>
      <c r="D18" s="10"/>
      <c r="E18" s="10"/>
      <c r="F18" s="10"/>
      <c r="G18" s="10"/>
      <c r="H18" s="10"/>
      <c r="I18" s="10"/>
    </row>
    <row r="19">
      <c r="A19" s="10"/>
      <c r="B19" s="10"/>
      <c r="C19" s="10"/>
      <c r="D19" s="10"/>
      <c r="E19" s="10"/>
      <c r="F19" s="10"/>
      <c r="G19" s="10"/>
      <c r="H19" s="10"/>
      <c r="I19" s="10"/>
    </row>
    <row r="20">
      <c r="A20" s="10"/>
      <c r="B20" s="10"/>
      <c r="C20" s="10"/>
      <c r="D20" s="10"/>
      <c r="E20" s="10"/>
      <c r="F20" s="10"/>
      <c r="G20" s="10"/>
      <c r="H20" s="10"/>
      <c r="I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2026-09-08T15:46:27Z</dcterms:created>
  <dc:creator>Lenovo</dc:creator>
</cp:coreProperties>
</file>