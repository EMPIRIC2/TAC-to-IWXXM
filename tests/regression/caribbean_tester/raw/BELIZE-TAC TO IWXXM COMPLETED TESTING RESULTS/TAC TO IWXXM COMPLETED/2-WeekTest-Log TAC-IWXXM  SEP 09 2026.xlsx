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9"/>
  <workbookPr/>
  <mc:AlternateContent xmlns:mc="http://schemas.openxmlformats.org/markup-compatibility/2006">
    <mc:Choice Requires="x15">
      <x15ac:absPath xmlns:x15ac="http://schemas.microsoft.com/office/spreadsheetml/2010/11/ac" url="C:\Users\Laren\Downloads\"/>
    </mc:Choice>
  </mc:AlternateContent>
  <xr:revisionPtr revIDLastSave="52" documentId="13_ncr:1_{1236BA07-9719-468B-8DD7-DD76AA495444}" xr6:coauthVersionLast="47" xr6:coauthVersionMax="47" xr10:uidLastSave="{D9029092-478A-4AAD-874D-DCE4040845F1}"/>
  <bookViews>
    <workbookView xWindow="-28920" yWindow="-120" windowWidth="29040" windowHeight="15840" firstSheet="1" activeTab="1" xr2:uid="{00000000-000D-0000-FFFF-FFFF00000000}"/>
  </bookViews>
  <sheets>
    <sheet name="Instructions" sheetId="1" r:id="rId1"/>
    <sheet name="Test Log" sheetId="2" r:id="rId2"/>
    <sheet name="Summary" sheetId="3" r:id="rId3"/>
    <sheet name="Weekly Summary" sheetId="4" r:id="rId4"/>
  </sheets>
  <definedNames>
    <definedName name="_xlnm._FilterDatabase" localSheetId="1" hidden="1">'Test Log'!$A$1:$L$301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I4" i="4"/>
  <c r="H4" i="4"/>
  <c r="G4" i="4"/>
  <c r="F4" i="4"/>
  <c r="E4" i="4"/>
  <c r="D4" i="4"/>
  <c r="I3" i="4"/>
  <c r="H3" i="4"/>
  <c r="G3" i="4"/>
  <c r="F3" i="4"/>
  <c r="E3" i="4"/>
  <c r="D3" i="4"/>
  <c r="C3" i="4"/>
  <c r="I2" i="4"/>
  <c r="H2" i="4"/>
  <c r="G2" i="4"/>
  <c r="F2" i="4"/>
  <c r="E2" i="4"/>
  <c r="D2" i="4"/>
  <c r="C2" i="4"/>
  <c r="H5" i="3"/>
  <c r="G5" i="3"/>
  <c r="F5" i="3"/>
  <c r="E5" i="3"/>
  <c r="D5" i="3"/>
  <c r="C5" i="3"/>
  <c r="B5" i="3"/>
  <c r="H4" i="3"/>
  <c r="G4" i="3"/>
  <c r="F4" i="3"/>
  <c r="E4" i="3"/>
  <c r="D4" i="3"/>
  <c r="C4" i="3"/>
  <c r="B4" i="3"/>
  <c r="H3" i="3"/>
  <c r="G3" i="3"/>
  <c r="F3" i="3"/>
  <c r="E3" i="3"/>
  <c r="D3" i="3"/>
  <c r="C3" i="3"/>
  <c r="B3" i="3"/>
  <c r="H2" i="3"/>
  <c r="G2" i="3"/>
  <c r="F2" i="3"/>
  <c r="E2" i="3"/>
  <c r="D2" i="3"/>
  <c r="C2" i="3"/>
  <c r="B2" i="3"/>
  <c r="D6" i="3" l="1"/>
  <c r="C6" i="3"/>
  <c r="G6" i="3"/>
  <c r="H6" i="3"/>
  <c r="E6" i="3"/>
  <c r="F6" i="3"/>
  <c r="B6" i="3"/>
</calcChain>
</file>

<file path=xl/sharedStrings.xml><?xml version="1.0" encoding="utf-8"?>
<sst xmlns="http://schemas.openxmlformats.org/spreadsheetml/2006/main" count="1860" uniqueCount="578">
  <si>
    <t>How to use the Test Log</t>
  </si>
  <si>
    <t>Enter one test per row on the 'Test Log' sheet. The Summary and Weekly Summary sheets calculate automatically from those entries.</t>
  </si>
  <si>
    <t>Use the drop-down lists for Week, Product, Translation Result, IWXXM Validation, Accuracy and Severity to ensure the formulas count results consistently.</t>
  </si>
  <si>
    <t>For a failed or questionable result, also complete an Error Report and reference the file/screenshot in the Test Log.</t>
  </si>
  <si>
    <t>Test ID</t>
  </si>
  <si>
    <t>Week</t>
  </si>
  <si>
    <t>Date</t>
  </si>
  <si>
    <t>Product</t>
  </si>
  <si>
    <t>TAC Message / Reference</t>
  </si>
  <si>
    <t>Translation Result</t>
  </si>
  <si>
    <t>IWXXM Validation</t>
  </si>
  <si>
    <t>TAC vs IWXXM Accurate?</t>
  </si>
  <si>
    <t>Severity</t>
  </si>
  <si>
    <t>Issue / Comment</t>
  </si>
  <si>
    <t>Screenshot / File Reference</t>
  </si>
  <si>
    <t>Retest Result</t>
  </si>
  <si>
    <t>T001(EXAMPLE-See Instructions Sheet)</t>
  </si>
  <si>
    <t>Week 1</t>
  </si>
  <si>
    <t>METAR</t>
  </si>
  <si>
    <t>TTPP</t>
  </si>
  <si>
    <t>PASS</t>
  </si>
  <si>
    <t>YES</t>
  </si>
  <si>
    <t>None</t>
  </si>
  <si>
    <t>T002</t>
  </si>
  <si>
    <t>TAF</t>
  </si>
  <si>
    <t>FAIL</t>
  </si>
  <si>
    <t>NO</t>
  </si>
  <si>
    <t>Critical</t>
  </si>
  <si>
    <t>7000 VIS IS NOT FOR THE BECMG TREND</t>
  </si>
  <si>
    <t>WEEK 1- TAF TESTING DATASET, IMAGE 1</t>
  </si>
  <si>
    <t>NOT RETESTED</t>
  </si>
  <si>
    <t>T003</t>
  </si>
  <si>
    <t>TTCP</t>
  </si>
  <si>
    <t>WEEK 1- TAF TESTING DATASET, IMAGE 2</t>
  </si>
  <si>
    <t>T004</t>
  </si>
  <si>
    <t>TUPJ</t>
  </si>
  <si>
    <t>WEEK 1- TAF TESTING DATASET, IMAGE 3</t>
  </si>
  <si>
    <t>T005</t>
  </si>
  <si>
    <t>TKPK</t>
  </si>
  <si>
    <t>WEEK 1- TAF TESTING DATASET, IMAGE 4</t>
  </si>
  <si>
    <t>T006</t>
  </si>
  <si>
    <t>TKPN</t>
  </si>
  <si>
    <t>WEEK 1- TAF TESTING DATASET, IMAGE 5</t>
  </si>
  <si>
    <t>T007</t>
  </si>
  <si>
    <t>TLPL</t>
  </si>
  <si>
    <t>WEEK 1- TAF TESTING DATASET, IMAGE 6</t>
  </si>
  <si>
    <t>T008</t>
  </si>
  <si>
    <t>TLPC</t>
  </si>
  <si>
    <t>WEEK 1- TAF TESTING DATASET, IMAGE 7</t>
  </si>
  <si>
    <t>T009</t>
  </si>
  <si>
    <t>TRPG</t>
  </si>
  <si>
    <t>WEEK 1- TAF TESTING DATASET, IMAGE 8</t>
  </si>
  <si>
    <t>T010</t>
  </si>
  <si>
    <t>TAPA</t>
  </si>
  <si>
    <t>WEEK 1- TAF TESTING DATASET, IMAGE 9</t>
  </si>
  <si>
    <t>T011</t>
  </si>
  <si>
    <t>TDPD</t>
  </si>
  <si>
    <t>WEEK 1- TAF TESTING DATASET, IMAGE 10</t>
  </si>
  <si>
    <t>T012</t>
  </si>
  <si>
    <t>TGPY</t>
  </si>
  <si>
    <t>WEEK 1- TAF TESTING DATASET, IMAGE 11</t>
  </si>
  <si>
    <t>T013</t>
  </si>
  <si>
    <t>TVSA</t>
  </si>
  <si>
    <t>Major</t>
  </si>
  <si>
    <t>MISSING WEATHER GROUP</t>
  </si>
  <si>
    <t>WEEK 1- TAF TESTING DATASET, IMAGE 12</t>
  </si>
  <si>
    <t>T014</t>
  </si>
  <si>
    <t>TBPB</t>
  </si>
  <si>
    <t>WEEK 1- TAF TESTING DATASET, IMAGE 13</t>
  </si>
  <si>
    <t>T015</t>
  </si>
  <si>
    <t>MZBZ</t>
  </si>
  <si>
    <t>Minor</t>
  </si>
  <si>
    <t>Missing Conversion/validation log</t>
  </si>
  <si>
    <t>WEEK 1- TAF TESTING DATASET, IMAGE 14</t>
  </si>
  <si>
    <t>T016</t>
  </si>
  <si>
    <t>MKJP</t>
  </si>
  <si>
    <t>EXCLUDED 'AMD NOT SKED'</t>
  </si>
  <si>
    <t>WEEK 1- TAF TESTING DATASET, IMAGE 15</t>
  </si>
  <si>
    <t>T017</t>
  </si>
  <si>
    <t>MKJS</t>
  </si>
  <si>
    <t>WEEK 1- TAF TESTING DATASET, IMAGE 16</t>
  </si>
  <si>
    <t>T018</t>
  </si>
  <si>
    <t>TQPF</t>
  </si>
  <si>
    <t>WEEK 1- TAF TESTING DATASET, IMAGE 17</t>
  </si>
  <si>
    <t>T019</t>
  </si>
  <si>
    <t>MWCR</t>
  </si>
  <si>
    <t>EXCLUDED A WEATHER GROUP TS</t>
  </si>
  <si>
    <t>WEEK 1- TAF TESTING DATASET, IMAGE 18</t>
  </si>
  <si>
    <t>T020</t>
  </si>
  <si>
    <t>TNCM</t>
  </si>
  <si>
    <t>WEEK 1- TAF TESTING DATASET, IMAGE 19</t>
  </si>
  <si>
    <t>T021</t>
  </si>
  <si>
    <t>MBPV</t>
  </si>
  <si>
    <t>EXCLUDED A WEATHER GROUP VCSH</t>
  </si>
  <si>
    <t>WEEK 1- TAF TESTING DATASET, IMAGE 20</t>
  </si>
  <si>
    <t>T022</t>
  </si>
  <si>
    <t>MBGT</t>
  </si>
  <si>
    <t>WEEK 1- TAF TESTING DATASET, IMAGE 21</t>
  </si>
  <si>
    <t>T023</t>
  </si>
  <si>
    <t>SPECI</t>
  </si>
  <si>
    <t>WEEK 1-SPECI TESTING DATASET, IMAGE 1</t>
  </si>
  <si>
    <t>T024</t>
  </si>
  <si>
    <t>EXCLUDED RMKS/ PRESENT WEATHER INVALID</t>
  </si>
  <si>
    <t>WEEK 1-SPECI TESTING DATASET, IMAGE 2</t>
  </si>
  <si>
    <t>T025</t>
  </si>
  <si>
    <t>PRESENT WEATHER INVALID</t>
  </si>
  <si>
    <t>WEEK 1-SPECI TESTING DATASET, IMAGE 3</t>
  </si>
  <si>
    <t>T026</t>
  </si>
  <si>
    <t>EXCLUDED RECENT WEATHER AND VCSH IN PRESENT WEATHER</t>
  </si>
  <si>
    <t>WEEK 1-SPECI TESTING DATASET, IMAGE 4</t>
  </si>
  <si>
    <t>T027</t>
  </si>
  <si>
    <t>WEEK 1-SPECI TESTING DATASET, IMAGE 5</t>
  </si>
  <si>
    <t>T028</t>
  </si>
  <si>
    <t>WEEK 1-SPECI TESTING DATASET, IMAGE 6</t>
  </si>
  <si>
    <t>T029</t>
  </si>
  <si>
    <t>EXCLUDED A WEATHER GROUP VCSH AND TS</t>
  </si>
  <si>
    <t>WEEK 1-SPECI TESTING DATASET, IMAGE 7</t>
  </si>
  <si>
    <t>T030</t>
  </si>
  <si>
    <t>WEEK 1-SPECI TESTING DATASET, IMAGE 8</t>
  </si>
  <si>
    <t>T031</t>
  </si>
  <si>
    <t>WEEK 1-SPECI TESTING DATASET, IMAGE 9</t>
  </si>
  <si>
    <t>T032</t>
  </si>
  <si>
    <t>EXCLUDED RECENT WEATHER</t>
  </si>
  <si>
    <t>WEEK 1-SPECI TESTING DATASET, IMAGE 10</t>
  </si>
  <si>
    <t>T033</t>
  </si>
  <si>
    <t>TJSJ</t>
  </si>
  <si>
    <t>INCORRECT CONVERSION OF THE SM IN METERS</t>
  </si>
  <si>
    <t>WEEK 1-SPECI TESTING DATASET, IMAGE 11</t>
  </si>
  <si>
    <t>T034</t>
  </si>
  <si>
    <t>WEEK 1-SPECI TESTING DATASET, IMAGE 12</t>
  </si>
  <si>
    <t>T035</t>
  </si>
  <si>
    <t>MSSING TAC PRODUCT</t>
  </si>
  <si>
    <t>WEEK 1-SPECI TESTING DATASET, IMAGE 13/14</t>
  </si>
  <si>
    <t>T036</t>
  </si>
  <si>
    <t>WEEK 1-SPECI TESTING DATASET, IMAGE 15</t>
  </si>
  <si>
    <t>T037</t>
  </si>
  <si>
    <t>WEEK 1-SPECI TESTING DATASET, IMAGE 16</t>
  </si>
  <si>
    <t>T038</t>
  </si>
  <si>
    <t>WEEK 1-SPECI TESTING DATASET, IMAGE 17</t>
  </si>
  <si>
    <t>T039</t>
  </si>
  <si>
    <t>EXCLUDED RMKS AND RECENT WEATHER</t>
  </si>
  <si>
    <t>WEEK 1-SPECI TESTING DATASET, IMAGE 18</t>
  </si>
  <si>
    <t>T040</t>
  </si>
  <si>
    <t>EXCLUDED CB CLOUDS AND RMKS</t>
  </si>
  <si>
    <t>WEEK 1-SPECI TESTING DATASET, IMAGE 19</t>
  </si>
  <si>
    <t>T041</t>
  </si>
  <si>
    <t>WEEK 1-SPECI TESTING DATASET, IMAGE 20</t>
  </si>
  <si>
    <t>T042</t>
  </si>
  <si>
    <t>DOES NOT RECOGNIZE VISIBILITY</t>
  </si>
  <si>
    <t>WEEK 1-SPECI TESTING DATASET, IMAGE 21</t>
  </si>
  <si>
    <t>T043</t>
  </si>
  <si>
    <t>WEEK 1-SPECI TESTING DATASET, IMAGE 22</t>
  </si>
  <si>
    <t>T044</t>
  </si>
  <si>
    <t>EXCLUDED RMKS</t>
  </si>
  <si>
    <t>WEEK 1-SPECI TESTING DATASET, IMAGE 23</t>
  </si>
  <si>
    <t>T045</t>
  </si>
  <si>
    <t>WEEK 1-SPECI TESTING DATASET, IMAGE 24</t>
  </si>
  <si>
    <t>T046</t>
  </si>
  <si>
    <t>TRANSLATED WITHOUT THE TERMINATOR</t>
  </si>
  <si>
    <t>WEEK 1-SPECI TESTING DATASET, IMAGE 25/26</t>
  </si>
  <si>
    <t>T047</t>
  </si>
  <si>
    <t>WEEK 1-SPECI TESTING DATASET, IMAGE 27</t>
  </si>
  <si>
    <t>T048</t>
  </si>
  <si>
    <t>INVALID TOKENS, EXCLUDED RMKS</t>
  </si>
  <si>
    <t>WEEK 1-SPECI TESTING DATASET, IMAGE 28</t>
  </si>
  <si>
    <t>T049</t>
  </si>
  <si>
    <t>WEEK 1-SPECI TESTING DATASET, IMAGE 29/30</t>
  </si>
  <si>
    <t>T050</t>
  </si>
  <si>
    <t>WEEK 1-SPECI TESTING DATASET, IMAGE 31</t>
  </si>
  <si>
    <t>T051</t>
  </si>
  <si>
    <t>EXCLUDED A PRESENT WEATHER</t>
  </si>
  <si>
    <t>WEEK 1-SPECI TESTING DATASET, IMAGE 32</t>
  </si>
  <si>
    <t>T052</t>
  </si>
  <si>
    <t>WEEK 1-SPECI TESTING DATASET, IMAGE 33</t>
  </si>
  <si>
    <t>T053</t>
  </si>
  <si>
    <t>EXCLUDED PRESENT WEATHERS VCSH VCTS</t>
  </si>
  <si>
    <t>WEEK 1-SPECI TESTING DATASET, IMAGE 34</t>
  </si>
  <si>
    <t>T054</t>
  </si>
  <si>
    <t xml:space="preserve">EXCLUDED PRESENT WEATHER VCSH </t>
  </si>
  <si>
    <t>WEEK 1-SPECI TESTING DATASET, IMAGE 35</t>
  </si>
  <si>
    <t>T055</t>
  </si>
  <si>
    <t>WEEK 1-SPECI TESTING DATASET, IMAGE 36</t>
  </si>
  <si>
    <t>T056</t>
  </si>
  <si>
    <t>WEEK 1-SPECI TESTING DATASET, IMAGE 37</t>
  </si>
  <si>
    <t>T057</t>
  </si>
  <si>
    <t>WEEK 1-SPECI TESTING DATASET, IMAGE 38</t>
  </si>
  <si>
    <t>T058</t>
  </si>
  <si>
    <t>WEEK 1-SPECI TESTING DATASET, IMAGE 39</t>
  </si>
  <si>
    <t>T059</t>
  </si>
  <si>
    <t>WEEK 1-SPECI TESTING DATASET, IMAGE 40</t>
  </si>
  <si>
    <t>T060</t>
  </si>
  <si>
    <t xml:space="preserve">EXCLUDED PRESENT WEATHER TS </t>
  </si>
  <si>
    <t>WEEK 1-SPECI TESTING DATASET, IMAGE 41</t>
  </si>
  <si>
    <t>T061</t>
  </si>
  <si>
    <t>WEEK 1-SPECI TESTING DATASET, IMAGE 42</t>
  </si>
  <si>
    <t>T062</t>
  </si>
  <si>
    <t>RESH IS INVALID - CHANGED TO RESHUP</t>
  </si>
  <si>
    <t>WEEK 1-SPECI TESTING DATASET, IMAGE 43</t>
  </si>
  <si>
    <t>T063</t>
  </si>
  <si>
    <t>WEEK 1-SPECI TESTING DATASET, IMAGE 44</t>
  </si>
  <si>
    <t>T064</t>
  </si>
  <si>
    <t>WEEK 1-SPECI TESTING DATASET, IMAGE 45</t>
  </si>
  <si>
    <t>T065</t>
  </si>
  <si>
    <t>WEEK 1 METAR DATASET TTPP, IMAGE 1</t>
  </si>
  <si>
    <t>T066</t>
  </si>
  <si>
    <t>WEEK 1 METAR DATASET TTPP, IMAGE 2</t>
  </si>
  <si>
    <t>T067</t>
  </si>
  <si>
    <t>WEEK 1 METAR DATASET TTPP, IMAGE 3</t>
  </si>
  <si>
    <t>T068</t>
  </si>
  <si>
    <t>WEEK 1 METAR DATASET TTPP, IMAGE 4</t>
  </si>
  <si>
    <t>T069</t>
  </si>
  <si>
    <t>WEEK 1 METAR DATASET TTPP, IMAGE 5</t>
  </si>
  <si>
    <t>T070</t>
  </si>
  <si>
    <t>WEEK 1 METAR DATASET TTPP, IMAGE 6</t>
  </si>
  <si>
    <t>T071</t>
  </si>
  <si>
    <t>WEEK 1 METAR DATASET TTPP, IMAGE 7</t>
  </si>
  <si>
    <t>T072</t>
  </si>
  <si>
    <t>WEEK 1 METAR DATASET TTPP, IMAGE 8</t>
  </si>
  <si>
    <t>T073</t>
  </si>
  <si>
    <t>WEEK 1 METAR DATASET TTPP, IMAGE 9</t>
  </si>
  <si>
    <t>T074</t>
  </si>
  <si>
    <t>WEEK 1 METAR DATASET TTPP, IMAGE 10</t>
  </si>
  <si>
    <t>T075</t>
  </si>
  <si>
    <t>WEEK 1 METAR DATASET TTPP, IMAGE 11</t>
  </si>
  <si>
    <t>T076</t>
  </si>
  <si>
    <t>WEEK 1 METAR DATASET TTPP, IMAGE 12</t>
  </si>
  <si>
    <t>T077</t>
  </si>
  <si>
    <t>WEEK 1 METAR DATASET TTPP, IMAGE 13</t>
  </si>
  <si>
    <t>T078</t>
  </si>
  <si>
    <t>WEEK 1 METAR DATASET TTPP, IMAGE 14</t>
  </si>
  <si>
    <t>T079</t>
  </si>
  <si>
    <t>WEEK 1 METAR DATASET TTPP, IMAGE 15</t>
  </si>
  <si>
    <t>T080</t>
  </si>
  <si>
    <t>WEEK 1 METAR DATASET TTPP, IMAGE 16</t>
  </si>
  <si>
    <t>T081</t>
  </si>
  <si>
    <t>WEEK 1 METAR DATASET TTPP, IMAGE 17</t>
  </si>
  <si>
    <t>T082</t>
  </si>
  <si>
    <t>WEEK 1 METAR DATASET TTPP, IMAGE 18</t>
  </si>
  <si>
    <t>T083</t>
  </si>
  <si>
    <t>WEEK 1 METAR DATASET TTPP, IMAGE 19</t>
  </si>
  <si>
    <t>T084</t>
  </si>
  <si>
    <t>WEEK 1 METAR DATASET TTPP, IMAGE 20</t>
  </si>
  <si>
    <t>T085</t>
  </si>
  <si>
    <t>WEEK 1 METAR DATASET TTPP, IMAGE 21</t>
  </si>
  <si>
    <t>T086</t>
  </si>
  <si>
    <t>WEEK 1 METAR DATASET TTPP, IMAGE 22</t>
  </si>
  <si>
    <t>T087</t>
  </si>
  <si>
    <t>WEEK 1 METAR DATASET TTPP, IMAGE 23</t>
  </si>
  <si>
    <t>T088</t>
  </si>
  <si>
    <t>WEEK 1 METAR DATASET TTPP, IMAGE 24</t>
  </si>
  <si>
    <t>T089</t>
  </si>
  <si>
    <t>WEEK 1 METAR DATASET TTPP, IMAGE 25</t>
  </si>
  <si>
    <t>T090</t>
  </si>
  <si>
    <t>WEEK 1 METAR DATASET TTCP, IMAGE 1</t>
  </si>
  <si>
    <t>T091</t>
  </si>
  <si>
    <t>WEEK 1 METAR DATASET TTCP, IMAGE 2</t>
  </si>
  <si>
    <t>T092</t>
  </si>
  <si>
    <t>WEEK 1 METAR DATASET TTCP, IMAGE 3</t>
  </si>
  <si>
    <t>T093</t>
  </si>
  <si>
    <t>WEEK 1 METAR DATASET TTCP, IMAGE 4</t>
  </si>
  <si>
    <t>T094</t>
  </si>
  <si>
    <t>WEEK 1 METAR DATASET TTCP, IMAGE 5</t>
  </si>
  <si>
    <t>T095</t>
  </si>
  <si>
    <t>WEEK 1 METAR DATASET TTCP, IMAGE 6</t>
  </si>
  <si>
    <t>T096</t>
  </si>
  <si>
    <t>WEEK 1 METAR DATASET TTCP, IMAGE 7</t>
  </si>
  <si>
    <t>T097</t>
  </si>
  <si>
    <t>WEEK 1 METAR DATASET TTCP, IMAGE 8</t>
  </si>
  <si>
    <t>T098</t>
  </si>
  <si>
    <t>WEEK 1 METAR DATASET TTCP, IMAGE 9</t>
  </si>
  <si>
    <t>T099</t>
  </si>
  <si>
    <t>WEEK 1 METAR DATASET TTCP, IMAGE 10</t>
  </si>
  <si>
    <t>T100</t>
  </si>
  <si>
    <t>WEEK 1 METAR DATASET TTCP, IMAGE 11</t>
  </si>
  <si>
    <t>T101</t>
  </si>
  <si>
    <t>WEEK 1 METAR DATASET TTCP, IMAGE 12</t>
  </si>
  <si>
    <t>T102</t>
  </si>
  <si>
    <t>WEEK 1 METAR DATASET TTCP, IMAGE 13/14</t>
  </si>
  <si>
    <t>T103</t>
  </si>
  <si>
    <t>WEEK 1 METAR DATASET TTCP, IMAGE 15</t>
  </si>
  <si>
    <t>T104</t>
  </si>
  <si>
    <t>WEEK 1 METAR DATASET TTCP, IMAGE 16</t>
  </si>
  <si>
    <t>T105</t>
  </si>
  <si>
    <t>WEEK 1 METAR DATASET TTCP, IMAGE 17</t>
  </si>
  <si>
    <t>T106</t>
  </si>
  <si>
    <t>EXCLUDED PRESENT WEATHER AND REMARKS</t>
  </si>
  <si>
    <t>WEEK 1 METAR DATASET TTCP, IMAGE 18</t>
  </si>
  <si>
    <t>T107</t>
  </si>
  <si>
    <t>EXCLUDED REMARKS AND VISIBILTY</t>
  </si>
  <si>
    <t>WEEK 1 METAR DATASET TUPJ, IMAGE 1</t>
  </si>
  <si>
    <t>T108</t>
  </si>
  <si>
    <t>WEEK 1 METAR DATASET TUPJ, IMAGE 2</t>
  </si>
  <si>
    <t>T109</t>
  </si>
  <si>
    <t>WEEK 1 METAR DATASET TUPJ, IMAGE 3</t>
  </si>
  <si>
    <t>T110</t>
  </si>
  <si>
    <t>WEEK 1 METAR DATASET TUPJ, IMAGE 4</t>
  </si>
  <si>
    <t>T111</t>
  </si>
  <si>
    <t>WEEK 1 METAR DATASET TUPJ, IMAGE 5</t>
  </si>
  <si>
    <t>T112</t>
  </si>
  <si>
    <t>WEEK 1 METAR DATASET TUPJ, IMAGE 6</t>
  </si>
  <si>
    <t>T113</t>
  </si>
  <si>
    <t>WEEK 1 METAR DATASET TUPJ, IMAGE 7</t>
  </si>
  <si>
    <t>T114</t>
  </si>
  <si>
    <t>WEEK 1 METAR DATASET TUPJ, IMAGE 8</t>
  </si>
  <si>
    <t>T115</t>
  </si>
  <si>
    <t>WEEK 1 METAR DATASET TUPJ, IMAGE 9</t>
  </si>
  <si>
    <t>T116</t>
  </si>
  <si>
    <t>EXCLUDED PRESENT WEATHER AND VISIBILITY</t>
  </si>
  <si>
    <t>WEEK 1 METAR DATASET TUPJ, IMAGE 10</t>
  </si>
  <si>
    <t>T117</t>
  </si>
  <si>
    <t>WEEK 1 METAR DATASET TUPJ, IMAGE 11</t>
  </si>
  <si>
    <t>T118</t>
  </si>
  <si>
    <t>WEEK 1 METAR DATASET TUPJ, IMAGE 12</t>
  </si>
  <si>
    <t>T119</t>
  </si>
  <si>
    <t>WEEK 1 METAR DATASET TUPJ, IMAGE 13</t>
  </si>
  <si>
    <t>T120</t>
  </si>
  <si>
    <t>WEEK 1 METAR DATASET TUPJ, IMAGE 14</t>
  </si>
  <si>
    <t>T121</t>
  </si>
  <si>
    <t>WEEK 1 METAR DATASET TUPJ, IMAGE 15</t>
  </si>
  <si>
    <t>T122</t>
  </si>
  <si>
    <t>EXCLUDED PRESENT WEATHER AND VISIBILITY AND RMK</t>
  </si>
  <si>
    <t>WEEK 1 METAR DATASET TUPJ, IMAGE 16</t>
  </si>
  <si>
    <t>T123</t>
  </si>
  <si>
    <t>WEEK 1 METAR DATASET TUPJ, IMAGE 17</t>
  </si>
  <si>
    <t>T124</t>
  </si>
  <si>
    <t>Week 2</t>
  </si>
  <si>
    <t>SOFT PREVIEW WAS UNCHECKED</t>
  </si>
  <si>
    <t>TAF MZBZ WEEK 2, IMAGE 1</t>
  </si>
  <si>
    <t>T125</t>
  </si>
  <si>
    <t>TAF MZBZ WEEK 2, IMAGE 2</t>
  </si>
  <si>
    <t>T126</t>
  </si>
  <si>
    <t>TAF MZBZ WEEK 2, IMAGE 3</t>
  </si>
  <si>
    <t>T127</t>
  </si>
  <si>
    <t>INVALID TIME FORMAT</t>
  </si>
  <si>
    <t>TAF MZBZ WEEK 2, IMAGE 4/5</t>
  </si>
  <si>
    <t>T128</t>
  </si>
  <si>
    <t>TAF MZBZ WEEK 2, IMAGE 6, MANUAL INPUT 3_2/6</t>
  </si>
  <si>
    <t>T129</t>
  </si>
  <si>
    <t>SOFT PREVIEW WAS CHECKED FOR THE RETEST</t>
  </si>
  <si>
    <t>TAF MZBZ WEEK 2, IMAGE 7/8</t>
  </si>
  <si>
    <t>T130</t>
  </si>
  <si>
    <t>TAF MZBZ WEEK 2, IMAGE 9</t>
  </si>
  <si>
    <t>T131</t>
  </si>
  <si>
    <t>INVALID TIME FORMAT/ INCORRECT WINDS</t>
  </si>
  <si>
    <t>TAF MZBZ WEEK 2, IMAGE 10/11</t>
  </si>
  <si>
    <t>T132</t>
  </si>
  <si>
    <t>IDENTIFY VARIABLE WINDS BUT SPEED M/S</t>
  </si>
  <si>
    <t>TAF MZBZ WEEK 2, IMAGE 12</t>
  </si>
  <si>
    <t>T133</t>
  </si>
  <si>
    <t>TAF MZBZ WEEK 2, IMAGE 13</t>
  </si>
  <si>
    <t>T134</t>
  </si>
  <si>
    <t>TAF MZBZ WEEK 2, IMAGE 14</t>
  </si>
  <si>
    <t>T135</t>
  </si>
  <si>
    <t>TAF MZBZ WEEK 2, IMAGE 15</t>
  </si>
  <si>
    <t>T136</t>
  </si>
  <si>
    <t>TAF MZBZ WEEK 2, IMAGE 16</t>
  </si>
  <si>
    <t>T137</t>
  </si>
  <si>
    <t>TAF MZBZ WEEK 2, IMAGE 17</t>
  </si>
  <si>
    <t>T138</t>
  </si>
  <si>
    <t>TAF MZBZ WEEK 2, IMAGE 18</t>
  </si>
  <si>
    <t>T139</t>
  </si>
  <si>
    <t>TAF MZBZ WEEK 2, IMAGE 19</t>
  </si>
  <si>
    <t>T140</t>
  </si>
  <si>
    <t>TAF MZBZ WEEK 2, IMAGE 20</t>
  </si>
  <si>
    <t>T141</t>
  </si>
  <si>
    <t>INVALID PRESENT WEATHER TOKEN</t>
  </si>
  <si>
    <t>METAR WEEK 2, IMAGE 1</t>
  </si>
  <si>
    <t>T142</t>
  </si>
  <si>
    <t>METAR WEEK 2, IMAGE 2</t>
  </si>
  <si>
    <t>T143</t>
  </si>
  <si>
    <t>EXCLUDED RMK</t>
  </si>
  <si>
    <t>METAR WEEK 2, IMAGE 3</t>
  </si>
  <si>
    <t>T144</t>
  </si>
  <si>
    <t>METAR WEEK 2, IMAGE 4</t>
  </si>
  <si>
    <t>T145</t>
  </si>
  <si>
    <t>METAR WEEK 2, IMAGE 5</t>
  </si>
  <si>
    <t>T146</t>
  </si>
  <si>
    <t>INCOMPLETE WIND TOKEN</t>
  </si>
  <si>
    <t>METAR WEEK 2, IMAGE 6/7</t>
  </si>
  <si>
    <t>T147</t>
  </si>
  <si>
    <t>EXCLUDED RMKS AND PRESENT WEATHER</t>
  </si>
  <si>
    <t>METAR WEEK 2, IMAGE 8</t>
  </si>
  <si>
    <t>T148</t>
  </si>
  <si>
    <t>METAR WEEK 2, IMAGE 9</t>
  </si>
  <si>
    <t>T149</t>
  </si>
  <si>
    <t>METAR WEEK 2, IMAGE 10</t>
  </si>
  <si>
    <t>T150</t>
  </si>
  <si>
    <t>METAR WEEK 2, IMAGE 11</t>
  </si>
  <si>
    <t>T151</t>
  </si>
  <si>
    <t>METAR WEEK 2, IMAGE 12</t>
  </si>
  <si>
    <t>T152</t>
  </si>
  <si>
    <t>METAR WEEK 2, IMAGE 13</t>
  </si>
  <si>
    <t>T153</t>
  </si>
  <si>
    <t>METAR WEEK 2, IMAGE 14</t>
  </si>
  <si>
    <t>T154</t>
  </si>
  <si>
    <t>EXCLUDED RMK AND RECENT WEATHER</t>
  </si>
  <si>
    <t>METAR WEEK 2, IMAGE 15</t>
  </si>
  <si>
    <t>T155</t>
  </si>
  <si>
    <t>METAR WEEK 2, IMAGE 16</t>
  </si>
  <si>
    <t>T156</t>
  </si>
  <si>
    <t>METAR WEEK 2, IMAGE 17</t>
  </si>
  <si>
    <t>T157</t>
  </si>
  <si>
    <t>METAR WEEK 2, IMAGE 18</t>
  </si>
  <si>
    <t>T158</t>
  </si>
  <si>
    <t>METAR WEEK 2, IMAGE 19</t>
  </si>
  <si>
    <t>T159</t>
  </si>
  <si>
    <t>METAR WEEK 2, IMAGE 20</t>
  </si>
  <si>
    <t>T160</t>
  </si>
  <si>
    <t>METAR WEEK 2, IMAGE 21</t>
  </si>
  <si>
    <t>T161</t>
  </si>
  <si>
    <t>METAR WEEK 2, IMAGE 22</t>
  </si>
  <si>
    <t>T162</t>
  </si>
  <si>
    <t>METAR WEEK 2, IMAGE 23</t>
  </si>
  <si>
    <t>T163</t>
  </si>
  <si>
    <t>METAR WEEK 2, IMAGE 24</t>
  </si>
  <si>
    <t>T164</t>
  </si>
  <si>
    <t>METAR WEEK 2, IMAGE 25</t>
  </si>
  <si>
    <t>T165</t>
  </si>
  <si>
    <t>METAR WEEK 2, IMAGE 26</t>
  </si>
  <si>
    <t>T166</t>
  </si>
  <si>
    <t>EXCLUDED PRESENT WEATHER AND RMKS</t>
  </si>
  <si>
    <t>METAR WEEK 2, IMAGE 27</t>
  </si>
  <si>
    <t>T167</t>
  </si>
  <si>
    <t>METAR WEEK 2, IMAGE 28</t>
  </si>
  <si>
    <t>T168</t>
  </si>
  <si>
    <t>METAR WEEK 2, IMAGE 29</t>
  </si>
  <si>
    <t>T169</t>
  </si>
  <si>
    <t>METAR WEEK 2, IMAGE 30</t>
  </si>
  <si>
    <t>T170</t>
  </si>
  <si>
    <t>METAR WEEK 2, IMAGE 31</t>
  </si>
  <si>
    <t>T171</t>
  </si>
  <si>
    <t>INCOMPLETE CLOUD TOKEN</t>
  </si>
  <si>
    <t>METAR WEEK 2, IMAGE 32/33</t>
  </si>
  <si>
    <t>T172</t>
  </si>
  <si>
    <t>METAR WEEK 2, IMAGE 34</t>
  </si>
  <si>
    <t>T173</t>
  </si>
  <si>
    <t>METAR WEEK 2, IMAGE 35</t>
  </si>
  <si>
    <t>T174</t>
  </si>
  <si>
    <t>MISSING VISIBILITY TOKEN</t>
  </si>
  <si>
    <t>METAR WEEK 2, IMAGE 36/37</t>
  </si>
  <si>
    <t>T175</t>
  </si>
  <si>
    <t>METAR WEEK 2, IMAGE 38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</si>
  <si>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</si>
  <si>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</si>
  <si>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</si>
  <si>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</si>
  <si>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</si>
  <si>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</si>
  <si>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</si>
  <si>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</si>
  <si>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</si>
  <si>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</si>
  <si>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</si>
  <si>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</si>
  <si>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</si>
  <si>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</si>
  <si>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</si>
  <si>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</si>
  <si>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</si>
  <si>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</si>
  <si>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</si>
  <si>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</si>
  <si>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</si>
  <si>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</si>
  <si>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</si>
  <si>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</si>
  <si>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</si>
  <si>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</si>
  <si>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</si>
  <si>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</si>
  <si>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</si>
  <si>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</si>
  <si>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</si>
  <si>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</si>
  <si>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</si>
  <si>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</si>
  <si>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</si>
  <si>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</si>
  <si>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</si>
  <si>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</si>
  <si>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</si>
  <si>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</si>
  <si>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</si>
  <si>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</si>
  <si>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</si>
  <si>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</si>
  <si>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</si>
  <si>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</si>
  <si>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</si>
  <si>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</si>
  <si>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</si>
  <si>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</si>
  <si>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</si>
  <si>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</si>
  <si>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</si>
  <si>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</si>
  <si>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</si>
  <si>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</si>
  <si>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</si>
  <si>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</si>
  <si>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</si>
  <si>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</si>
  <si>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</si>
  <si>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</si>
  <si>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</si>
  <si>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</si>
  <si>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</si>
  <si>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</si>
  <si>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</si>
  <si>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</si>
  <si>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</si>
  <si>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</si>
  <si>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</si>
  <si>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</si>
  <si>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</si>
  <si>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</si>
  <si>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</si>
  <si>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</si>
  <si>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</si>
  <si>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</si>
  <si>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</si>
  <si>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</si>
  <si>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</si>
  <si>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</si>
  <si>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</si>
  <si>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</si>
  <si>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</si>
  <si>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</si>
  <si>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</si>
  <si>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</si>
  <si>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</si>
  <si>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</si>
  <si>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</si>
  <si>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</si>
  <si>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</si>
  <si>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</si>
  <si>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</si>
  <si>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</si>
  <si>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</si>
  <si>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</si>
  <si>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</si>
  <si>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</si>
  <si>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</si>
  <si>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</si>
  <si>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</si>
  <si>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</si>
  <si>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</si>
  <si>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</si>
  <si>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</si>
  <si>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</si>
  <si>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</si>
  <si>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</si>
  <si>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</si>
  <si>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</si>
  <si>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</si>
  <si>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</si>
  <si>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</si>
  <si>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</si>
  <si>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</si>
  <si>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</si>
  <si>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</si>
  <si>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</si>
  <si>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</si>
  <si>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</si>
  <si>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</si>
  <si>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</si>
  <si>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</si>
  <si>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Messages Tested</t>
  </si>
  <si>
    <t>Translation PASS</t>
  </si>
  <si>
    <t>Validation PASS</t>
  </si>
  <si>
    <t>Accuracy YES</t>
  </si>
  <si>
    <t>SIGMET</t>
  </si>
  <si>
    <t>TOTAL</t>
  </si>
  <si>
    <t>Purpose</t>
  </si>
  <si>
    <t>Familiarisation and basic functionality</t>
  </si>
  <si>
    <t>Operational parallel testing</t>
  </si>
  <si>
    <t>Week 3</t>
  </si>
  <si>
    <t>Error testing and final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</si>
</sst>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name val="Calibri"/>
    </font>
    <font>
      <b/>
      <sz val="11"/>
      <color rgb="FFFF0000"/>
      <name val="Calibri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14" fontId="0" fillId="0" borderId="0" xfId="0" applyNumberFormat="1"/>
    <xf numFmtId="0" fontId="3" fillId="0" borderId="0" xfId="0" applyFont="1" applyAlignment="1">
      <alignment vertical="top" wrapText="1"/>
    </xf>
    <xf numFmtId="0" fontId="0" fillId="0" borderId="1" xfId="0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zoomScaleNormal="100" workbookViewId="0">
      <selection activeCell="A4" sqref="A4"/>
    </sheetView>
  </sheetViews>
  <sheetFormatPr defaultColWidth="8.5703125" defaultRowHeight="15" customHeight="1"/>
  <cols>
    <col min="1" max="1" width="110" customWidth="1"/>
  </cols>
  <sheetData>
    <row r="1" spans="1:1" ht="15" customHeight="1">
      <c r="A1" s="1" t="s">
        <v>0</v>
      </c>
    </row>
    <row r="2" spans="1:1" ht="28.35" customHeight="1">
      <c r="A2" s="2" t="s">
        <v>1</v>
      </c>
    </row>
    <row r="3" spans="1:1" ht="28.35" customHeight="1">
      <c r="A3" s="2" t="s">
        <v>2</v>
      </c>
    </row>
    <row r="4" spans="1:1" ht="15" customHeight="1">
      <c r="A4" s="2" t="s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1"/>
  <sheetViews>
    <sheetView tabSelected="1" zoomScale="90" zoomScaleNormal="90" workbookViewId="0">
      <pane ySplit="1" topLeftCell="A165" activePane="bottomLeft" state="frozen"/>
      <selection pane="bottomLeft" activeCell="C144" sqref="C144:C176"/>
    </sheetView>
  </sheetViews>
  <sheetFormatPr defaultColWidth="8.5703125" defaultRowHeight="15" customHeight="1"/>
  <cols>
    <col min="1" max="1" width="22.85546875" customWidth="1"/>
    <col min="2" max="2" width="12" customWidth="1"/>
    <col min="3" max="4" width="14" customWidth="1"/>
    <col min="5" max="5" width="32" customWidth="1"/>
    <col min="6" max="7" width="20" customWidth="1"/>
    <col min="8" max="8" width="25" customWidth="1"/>
    <col min="9" max="9" width="14" customWidth="1"/>
    <col min="10" max="10" width="42" customWidth="1"/>
    <col min="11" max="11" width="30" customWidth="1"/>
    <col min="12" max="12" width="20" customWidth="1"/>
  </cols>
  <sheetData>
    <row r="1" spans="1:12" ht="28.35" customHeight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</row>
    <row r="2" spans="1:12" ht="30" customHeight="1">
      <c r="A2" s="6" t="s">
        <v>16</v>
      </c>
      <c r="B2" t="s">
        <v>17</v>
      </c>
      <c r="C2" s="5">
        <v>46273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</row>
    <row r="3" spans="1:12" ht="15" customHeight="1">
      <c r="A3" t="s">
        <v>23</v>
      </c>
      <c r="B3" t="s">
        <v>17</v>
      </c>
      <c r="C3" s="5">
        <v>46293</v>
      </c>
      <c r="D3" t="s">
        <v>24</v>
      </c>
      <c r="E3" t="s">
        <v>19</v>
      </c>
      <c r="F3" t="s">
        <v>25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 ht="15" customHeight="1">
      <c r="A4" t="s">
        <v>31</v>
      </c>
      <c r="B4" t="s">
        <v>17</v>
      </c>
      <c r="C4" s="5">
        <v>46293</v>
      </c>
      <c r="D4" t="s">
        <v>24</v>
      </c>
      <c r="E4" t="s">
        <v>32</v>
      </c>
      <c r="F4" t="s">
        <v>25</v>
      </c>
      <c r="G4" t="s">
        <v>25</v>
      </c>
      <c r="H4" t="s">
        <v>26</v>
      </c>
      <c r="I4" t="s">
        <v>27</v>
      </c>
      <c r="K4" t="s">
        <v>33</v>
      </c>
      <c r="L4" t="s">
        <v>30</v>
      </c>
    </row>
    <row r="5" spans="1:12" ht="15" customHeight="1">
      <c r="A5" t="s">
        <v>34</v>
      </c>
      <c r="B5" t="s">
        <v>17</v>
      </c>
      <c r="C5" s="5">
        <v>46293</v>
      </c>
      <c r="D5" t="s">
        <v>24</v>
      </c>
      <c r="E5" t="s">
        <v>35</v>
      </c>
      <c r="F5" t="s">
        <v>20</v>
      </c>
      <c r="G5" t="s">
        <v>20</v>
      </c>
      <c r="H5" t="s">
        <v>21</v>
      </c>
      <c r="I5" t="s">
        <v>22</v>
      </c>
      <c r="K5" t="s">
        <v>36</v>
      </c>
      <c r="L5" t="s">
        <v>30</v>
      </c>
    </row>
    <row r="6" spans="1:12" ht="15" customHeight="1">
      <c r="A6" t="s">
        <v>37</v>
      </c>
      <c r="B6" t="s">
        <v>17</v>
      </c>
      <c r="C6" s="5">
        <v>46293</v>
      </c>
      <c r="D6" t="s">
        <v>24</v>
      </c>
      <c r="E6" t="s">
        <v>38</v>
      </c>
      <c r="F6" t="s">
        <v>20</v>
      </c>
      <c r="G6" t="s">
        <v>20</v>
      </c>
      <c r="H6" t="s">
        <v>21</v>
      </c>
      <c r="I6" t="s">
        <v>22</v>
      </c>
      <c r="K6" t="s">
        <v>39</v>
      </c>
      <c r="L6" t="s">
        <v>30</v>
      </c>
    </row>
    <row r="7" spans="1:12" ht="15" customHeight="1">
      <c r="A7" t="s">
        <v>40</v>
      </c>
      <c r="B7" t="s">
        <v>17</v>
      </c>
      <c r="C7" s="5">
        <v>46293</v>
      </c>
      <c r="D7" t="s">
        <v>24</v>
      </c>
      <c r="E7" t="s">
        <v>41</v>
      </c>
      <c r="F7" t="s">
        <v>20</v>
      </c>
      <c r="G7" t="s">
        <v>20</v>
      </c>
      <c r="H7" t="s">
        <v>21</v>
      </c>
      <c r="I7" t="s">
        <v>22</v>
      </c>
      <c r="K7" t="s">
        <v>42</v>
      </c>
      <c r="L7" t="s">
        <v>30</v>
      </c>
    </row>
    <row r="8" spans="1:12" ht="15" customHeight="1">
      <c r="A8" t="s">
        <v>43</v>
      </c>
      <c r="B8" t="s">
        <v>17</v>
      </c>
      <c r="C8" s="5">
        <v>46293</v>
      </c>
      <c r="D8" t="s">
        <v>24</v>
      </c>
      <c r="E8" t="s">
        <v>44</v>
      </c>
      <c r="F8" t="s">
        <v>20</v>
      </c>
      <c r="G8" t="s">
        <v>20</v>
      </c>
      <c r="H8" t="s">
        <v>21</v>
      </c>
      <c r="I8" t="s">
        <v>22</v>
      </c>
      <c r="K8" t="s">
        <v>45</v>
      </c>
      <c r="L8" t="s">
        <v>30</v>
      </c>
    </row>
    <row r="9" spans="1:12" ht="15" customHeight="1">
      <c r="A9" t="s">
        <v>46</v>
      </c>
      <c r="B9" t="s">
        <v>17</v>
      </c>
      <c r="C9" s="5">
        <v>46293</v>
      </c>
      <c r="D9" t="s">
        <v>24</v>
      </c>
      <c r="E9" t="s">
        <v>47</v>
      </c>
      <c r="F9" t="s">
        <v>20</v>
      </c>
      <c r="G9" t="s">
        <v>20</v>
      </c>
      <c r="H9" t="s">
        <v>21</v>
      </c>
      <c r="I9" t="s">
        <v>22</v>
      </c>
      <c r="K9" t="s">
        <v>48</v>
      </c>
      <c r="L9" t="s">
        <v>30</v>
      </c>
    </row>
    <row r="10" spans="1:12" ht="15" customHeight="1">
      <c r="A10" t="s">
        <v>49</v>
      </c>
      <c r="B10" t="s">
        <v>17</v>
      </c>
      <c r="C10" s="5">
        <v>46293</v>
      </c>
      <c r="D10" t="s">
        <v>24</v>
      </c>
      <c r="E10" t="s">
        <v>50</v>
      </c>
      <c r="F10" t="s">
        <v>20</v>
      </c>
      <c r="G10" t="s">
        <v>20</v>
      </c>
      <c r="H10" t="s">
        <v>21</v>
      </c>
      <c r="I10" t="s">
        <v>22</v>
      </c>
      <c r="K10" t="s">
        <v>51</v>
      </c>
      <c r="L10" t="s">
        <v>30</v>
      </c>
    </row>
    <row r="11" spans="1:12" ht="15" customHeight="1">
      <c r="A11" t="s">
        <v>52</v>
      </c>
      <c r="B11" t="s">
        <v>17</v>
      </c>
      <c r="C11" s="5">
        <v>46293</v>
      </c>
      <c r="D11" t="s">
        <v>24</v>
      </c>
      <c r="E11" t="s">
        <v>53</v>
      </c>
      <c r="F11" t="s">
        <v>20</v>
      </c>
      <c r="G11" t="s">
        <v>20</v>
      </c>
      <c r="H11" t="s">
        <v>21</v>
      </c>
      <c r="I11" t="s">
        <v>22</v>
      </c>
      <c r="K11" t="s">
        <v>54</v>
      </c>
      <c r="L11" t="s">
        <v>30</v>
      </c>
    </row>
    <row r="12" spans="1:12" ht="15" customHeight="1">
      <c r="A12" t="s">
        <v>55</v>
      </c>
      <c r="B12" t="s">
        <v>17</v>
      </c>
      <c r="C12" s="5">
        <v>46293</v>
      </c>
      <c r="D12" t="s">
        <v>24</v>
      </c>
      <c r="E12" t="s">
        <v>56</v>
      </c>
      <c r="F12" t="s">
        <v>20</v>
      </c>
      <c r="G12" t="s">
        <v>20</v>
      </c>
      <c r="H12" t="s">
        <v>21</v>
      </c>
      <c r="I12" t="s">
        <v>22</v>
      </c>
      <c r="K12" t="s">
        <v>57</v>
      </c>
      <c r="L12" t="s">
        <v>30</v>
      </c>
    </row>
    <row r="13" spans="1:12" ht="15" customHeight="1">
      <c r="A13" t="s">
        <v>58</v>
      </c>
      <c r="B13" t="s">
        <v>17</v>
      </c>
      <c r="C13" s="5">
        <v>46293</v>
      </c>
      <c r="D13" t="s">
        <v>24</v>
      </c>
      <c r="E13" t="s">
        <v>59</v>
      </c>
      <c r="F13" t="s">
        <v>20</v>
      </c>
      <c r="G13" t="s">
        <v>20</v>
      </c>
      <c r="H13" t="s">
        <v>21</v>
      </c>
      <c r="I13" t="s">
        <v>22</v>
      </c>
      <c r="K13" t="s">
        <v>60</v>
      </c>
      <c r="L13" t="s">
        <v>30</v>
      </c>
    </row>
    <row r="14" spans="1:12" ht="15" customHeight="1">
      <c r="A14" t="s">
        <v>61</v>
      </c>
      <c r="B14" t="s">
        <v>17</v>
      </c>
      <c r="C14" s="5">
        <v>46293</v>
      </c>
      <c r="D14" t="s">
        <v>24</v>
      </c>
      <c r="E14" t="s">
        <v>62</v>
      </c>
      <c r="F14" t="s">
        <v>25</v>
      </c>
      <c r="G14" t="s">
        <v>20</v>
      </c>
      <c r="H14" t="s">
        <v>26</v>
      </c>
      <c r="I14" t="s">
        <v>63</v>
      </c>
      <c r="J14" t="s">
        <v>64</v>
      </c>
      <c r="K14" t="s">
        <v>65</v>
      </c>
      <c r="L14" t="s">
        <v>30</v>
      </c>
    </row>
    <row r="15" spans="1:12" ht="15" customHeight="1">
      <c r="A15" t="s">
        <v>66</v>
      </c>
      <c r="B15" t="s">
        <v>17</v>
      </c>
      <c r="C15" s="5">
        <v>46293</v>
      </c>
      <c r="D15" t="s">
        <v>24</v>
      </c>
      <c r="E15" t="s">
        <v>67</v>
      </c>
      <c r="F15" t="s">
        <v>20</v>
      </c>
      <c r="G15" t="s">
        <v>20</v>
      </c>
      <c r="H15" t="s">
        <v>21</v>
      </c>
      <c r="I15" t="s">
        <v>22</v>
      </c>
      <c r="K15" t="s">
        <v>68</v>
      </c>
      <c r="L15" t="s">
        <v>30</v>
      </c>
    </row>
    <row r="16" spans="1:12" ht="15" customHeight="1">
      <c r="A16" t="s">
        <v>69</v>
      </c>
      <c r="B16" t="s">
        <v>17</v>
      </c>
      <c r="C16" s="5">
        <v>46293</v>
      </c>
      <c r="D16" t="s">
        <v>24</v>
      </c>
      <c r="E16" t="s">
        <v>70</v>
      </c>
      <c r="F16" t="s">
        <v>20</v>
      </c>
      <c r="G16" t="s">
        <v>20</v>
      </c>
      <c r="H16" t="s">
        <v>21</v>
      </c>
      <c r="I16" t="s">
        <v>71</v>
      </c>
      <c r="J16" t="s">
        <v>72</v>
      </c>
      <c r="K16" t="s">
        <v>73</v>
      </c>
      <c r="L16" t="s">
        <v>30</v>
      </c>
    </row>
    <row r="17" spans="1:12" ht="15" customHeight="1">
      <c r="A17" t="s">
        <v>74</v>
      </c>
      <c r="B17" t="s">
        <v>17</v>
      </c>
      <c r="C17" s="5">
        <v>46293</v>
      </c>
      <c r="D17" t="s">
        <v>24</v>
      </c>
      <c r="E17" t="s">
        <v>75</v>
      </c>
      <c r="F17" t="s">
        <v>20</v>
      </c>
      <c r="G17" t="s">
        <v>20</v>
      </c>
      <c r="H17" t="s">
        <v>21</v>
      </c>
      <c r="I17" t="s">
        <v>63</v>
      </c>
      <c r="J17" t="s">
        <v>76</v>
      </c>
      <c r="K17" t="s">
        <v>77</v>
      </c>
      <c r="L17" t="s">
        <v>30</v>
      </c>
    </row>
    <row r="18" spans="1:12" ht="15" customHeight="1">
      <c r="A18" t="s">
        <v>78</v>
      </c>
      <c r="B18" t="s">
        <v>17</v>
      </c>
      <c r="C18" s="5">
        <v>46293</v>
      </c>
      <c r="D18" t="s">
        <v>24</v>
      </c>
      <c r="E18" t="s">
        <v>79</v>
      </c>
      <c r="F18" t="s">
        <v>20</v>
      </c>
      <c r="G18" t="s">
        <v>20</v>
      </c>
      <c r="H18" t="s">
        <v>21</v>
      </c>
      <c r="I18" t="s">
        <v>22</v>
      </c>
      <c r="K18" t="s">
        <v>80</v>
      </c>
      <c r="L18" t="s">
        <v>30</v>
      </c>
    </row>
    <row r="19" spans="1:12" ht="15" customHeight="1">
      <c r="A19" t="s">
        <v>81</v>
      </c>
      <c r="B19" t="s">
        <v>17</v>
      </c>
      <c r="C19" s="5">
        <v>46293</v>
      </c>
      <c r="D19" t="s">
        <v>24</v>
      </c>
      <c r="E19" t="s">
        <v>82</v>
      </c>
      <c r="F19" t="s">
        <v>20</v>
      </c>
      <c r="G19" t="s">
        <v>20</v>
      </c>
      <c r="H19" t="s">
        <v>21</v>
      </c>
      <c r="I19" t="s">
        <v>22</v>
      </c>
      <c r="K19" t="s">
        <v>83</v>
      </c>
      <c r="L19" t="s">
        <v>30</v>
      </c>
    </row>
    <row r="20" spans="1:12" ht="15" customHeight="1">
      <c r="A20" t="s">
        <v>84</v>
      </c>
      <c r="B20" t="s">
        <v>17</v>
      </c>
      <c r="C20" s="5">
        <v>46293</v>
      </c>
      <c r="D20" t="s">
        <v>24</v>
      </c>
      <c r="E20" t="s">
        <v>85</v>
      </c>
      <c r="F20" t="s">
        <v>20</v>
      </c>
      <c r="G20" t="s">
        <v>20</v>
      </c>
      <c r="H20" t="s">
        <v>26</v>
      </c>
      <c r="I20" t="s">
        <v>63</v>
      </c>
      <c r="J20" t="s">
        <v>86</v>
      </c>
      <c r="K20" t="s">
        <v>87</v>
      </c>
      <c r="L20" t="s">
        <v>30</v>
      </c>
    </row>
    <row r="21" spans="1:12" ht="15" customHeight="1">
      <c r="A21" t="s">
        <v>88</v>
      </c>
      <c r="B21" t="s">
        <v>17</v>
      </c>
      <c r="C21" s="5">
        <v>46293</v>
      </c>
      <c r="D21" t="s">
        <v>24</v>
      </c>
      <c r="E21" t="s">
        <v>89</v>
      </c>
      <c r="F21" t="s">
        <v>20</v>
      </c>
      <c r="G21" t="s">
        <v>20</v>
      </c>
      <c r="H21" t="s">
        <v>21</v>
      </c>
      <c r="I21" t="s">
        <v>22</v>
      </c>
      <c r="K21" t="s">
        <v>90</v>
      </c>
      <c r="L21" t="s">
        <v>30</v>
      </c>
    </row>
    <row r="22" spans="1:12" ht="15" customHeight="1">
      <c r="A22" t="s">
        <v>91</v>
      </c>
      <c r="B22" t="s">
        <v>17</v>
      </c>
      <c r="C22" s="5">
        <v>46293</v>
      </c>
      <c r="D22" t="s">
        <v>24</v>
      </c>
      <c r="E22" t="s">
        <v>92</v>
      </c>
      <c r="F22" t="s">
        <v>20</v>
      </c>
      <c r="G22" t="s">
        <v>20</v>
      </c>
      <c r="H22" t="s">
        <v>26</v>
      </c>
      <c r="I22" t="s">
        <v>63</v>
      </c>
      <c r="J22" t="s">
        <v>93</v>
      </c>
      <c r="K22" t="s">
        <v>94</v>
      </c>
      <c r="L22" t="s">
        <v>30</v>
      </c>
    </row>
    <row r="23" spans="1:12" ht="15" customHeight="1">
      <c r="A23" t="s">
        <v>95</v>
      </c>
      <c r="B23" t="s">
        <v>17</v>
      </c>
      <c r="C23" s="5">
        <v>46293</v>
      </c>
      <c r="D23" t="s">
        <v>24</v>
      </c>
      <c r="E23" t="s">
        <v>96</v>
      </c>
      <c r="F23" t="s">
        <v>20</v>
      </c>
      <c r="G23" t="s">
        <v>20</v>
      </c>
      <c r="H23" t="s">
        <v>26</v>
      </c>
      <c r="I23" t="s">
        <v>63</v>
      </c>
      <c r="J23" t="s">
        <v>93</v>
      </c>
      <c r="K23" t="s">
        <v>97</v>
      </c>
      <c r="L23" t="s">
        <v>30</v>
      </c>
    </row>
    <row r="24" spans="1:12" ht="15" customHeight="1">
      <c r="A24" t="s">
        <v>98</v>
      </c>
      <c r="B24" t="s">
        <v>17</v>
      </c>
      <c r="C24" s="5">
        <v>46294</v>
      </c>
      <c r="D24" t="s">
        <v>99</v>
      </c>
      <c r="E24" t="s">
        <v>19</v>
      </c>
      <c r="F24" t="s">
        <v>20</v>
      </c>
      <c r="G24" t="s">
        <v>20</v>
      </c>
      <c r="H24" t="s">
        <v>21</v>
      </c>
      <c r="I24" t="s">
        <v>22</v>
      </c>
      <c r="K24" t="s">
        <v>100</v>
      </c>
    </row>
    <row r="25" spans="1:12" ht="15" customHeight="1">
      <c r="A25" t="s">
        <v>101</v>
      </c>
      <c r="B25" t="s">
        <v>17</v>
      </c>
      <c r="C25" s="5">
        <v>46294</v>
      </c>
      <c r="D25" t="s">
        <v>99</v>
      </c>
      <c r="E25" t="s">
        <v>35</v>
      </c>
      <c r="F25" t="s">
        <v>25</v>
      </c>
      <c r="G25" t="s">
        <v>20</v>
      </c>
      <c r="H25" t="s">
        <v>26</v>
      </c>
      <c r="I25" t="s">
        <v>63</v>
      </c>
      <c r="J25" t="s">
        <v>102</v>
      </c>
      <c r="K25" t="s">
        <v>103</v>
      </c>
    </row>
    <row r="26" spans="1:12" ht="15" customHeight="1">
      <c r="A26" t="s">
        <v>104</v>
      </c>
      <c r="B26" t="s">
        <v>17</v>
      </c>
      <c r="C26" s="5">
        <v>46294</v>
      </c>
      <c r="D26" t="s">
        <v>99</v>
      </c>
      <c r="E26" t="s">
        <v>53</v>
      </c>
      <c r="F26" t="s">
        <v>25</v>
      </c>
      <c r="G26" t="s">
        <v>20</v>
      </c>
      <c r="H26" t="s">
        <v>26</v>
      </c>
      <c r="I26" t="s">
        <v>63</v>
      </c>
      <c r="J26" t="s">
        <v>105</v>
      </c>
      <c r="K26" t="s">
        <v>106</v>
      </c>
    </row>
    <row r="27" spans="1:12" ht="15" customHeight="1">
      <c r="A27" t="s">
        <v>107</v>
      </c>
      <c r="B27" t="s">
        <v>17</v>
      </c>
      <c r="C27" s="5">
        <v>46294</v>
      </c>
      <c r="D27" t="s">
        <v>99</v>
      </c>
      <c r="E27" t="s">
        <v>67</v>
      </c>
      <c r="F27" t="s">
        <v>25</v>
      </c>
      <c r="G27" t="s">
        <v>20</v>
      </c>
      <c r="H27" t="s">
        <v>26</v>
      </c>
      <c r="I27" t="s">
        <v>27</v>
      </c>
      <c r="J27" t="s">
        <v>108</v>
      </c>
      <c r="K27" t="s">
        <v>109</v>
      </c>
    </row>
    <row r="28" spans="1:12" ht="15" customHeight="1">
      <c r="A28" t="s">
        <v>110</v>
      </c>
      <c r="B28" t="s">
        <v>17</v>
      </c>
      <c r="C28" s="5">
        <v>46294</v>
      </c>
      <c r="D28" t="s">
        <v>99</v>
      </c>
      <c r="E28" t="s">
        <v>67</v>
      </c>
      <c r="F28" t="s">
        <v>20</v>
      </c>
      <c r="G28" t="s">
        <v>20</v>
      </c>
      <c r="H28" t="s">
        <v>21</v>
      </c>
      <c r="I28" t="s">
        <v>22</v>
      </c>
      <c r="K28" t="s">
        <v>111</v>
      </c>
    </row>
    <row r="29" spans="1:12" ht="15" customHeight="1">
      <c r="A29" t="s">
        <v>112</v>
      </c>
      <c r="B29" t="s">
        <v>17</v>
      </c>
      <c r="C29" s="5">
        <v>46294</v>
      </c>
      <c r="D29" t="s">
        <v>99</v>
      </c>
      <c r="E29" t="s">
        <v>67</v>
      </c>
      <c r="F29" t="s">
        <v>25</v>
      </c>
      <c r="G29" t="s">
        <v>20</v>
      </c>
      <c r="H29" t="s">
        <v>26</v>
      </c>
      <c r="I29" t="s">
        <v>63</v>
      </c>
      <c r="J29" t="s">
        <v>93</v>
      </c>
      <c r="K29" t="s">
        <v>113</v>
      </c>
    </row>
    <row r="30" spans="1:12" ht="15" customHeight="1">
      <c r="A30" t="s">
        <v>114</v>
      </c>
      <c r="B30" t="s">
        <v>17</v>
      </c>
      <c r="C30" s="5">
        <v>46294</v>
      </c>
      <c r="D30" t="s">
        <v>99</v>
      </c>
      <c r="E30" t="s">
        <v>85</v>
      </c>
      <c r="F30" t="s">
        <v>25</v>
      </c>
      <c r="G30" t="s">
        <v>20</v>
      </c>
      <c r="H30" t="s">
        <v>26</v>
      </c>
      <c r="I30" t="s">
        <v>63</v>
      </c>
      <c r="J30" t="s">
        <v>115</v>
      </c>
      <c r="K30" t="s">
        <v>116</v>
      </c>
    </row>
    <row r="31" spans="1:12" ht="15" customHeight="1">
      <c r="A31" t="s">
        <v>117</v>
      </c>
      <c r="B31" t="s">
        <v>17</v>
      </c>
      <c r="C31" s="5">
        <v>46294</v>
      </c>
      <c r="D31" t="s">
        <v>99</v>
      </c>
      <c r="E31" t="s">
        <v>85</v>
      </c>
      <c r="F31" t="s">
        <v>25</v>
      </c>
      <c r="G31" t="s">
        <v>20</v>
      </c>
      <c r="H31" t="s">
        <v>26</v>
      </c>
      <c r="I31" t="s">
        <v>63</v>
      </c>
      <c r="J31" t="s">
        <v>93</v>
      </c>
      <c r="K31" t="s">
        <v>118</v>
      </c>
    </row>
    <row r="32" spans="1:12" ht="15" customHeight="1">
      <c r="A32" t="s">
        <v>119</v>
      </c>
      <c r="B32" t="s">
        <v>17</v>
      </c>
      <c r="C32" s="5">
        <v>46294</v>
      </c>
      <c r="D32" t="s">
        <v>99</v>
      </c>
      <c r="E32" t="s">
        <v>53</v>
      </c>
      <c r="F32" t="s">
        <v>20</v>
      </c>
      <c r="G32" t="s">
        <v>20</v>
      </c>
      <c r="H32" t="s">
        <v>21</v>
      </c>
      <c r="I32" t="s">
        <v>22</v>
      </c>
      <c r="K32" t="s">
        <v>120</v>
      </c>
    </row>
    <row r="33" spans="1:12" ht="15" customHeight="1">
      <c r="A33" t="s">
        <v>121</v>
      </c>
      <c r="B33" t="s">
        <v>17</v>
      </c>
      <c r="C33" s="5">
        <v>46294</v>
      </c>
      <c r="D33" t="s">
        <v>99</v>
      </c>
      <c r="E33" t="s">
        <v>75</v>
      </c>
      <c r="F33" t="s">
        <v>20</v>
      </c>
      <c r="G33" t="s">
        <v>20</v>
      </c>
      <c r="H33" t="s">
        <v>26</v>
      </c>
      <c r="I33" t="s">
        <v>63</v>
      </c>
      <c r="J33" t="s">
        <v>122</v>
      </c>
      <c r="K33" t="s">
        <v>123</v>
      </c>
    </row>
    <row r="34" spans="1:12" ht="15" customHeight="1">
      <c r="A34" t="s">
        <v>124</v>
      </c>
      <c r="B34" t="s">
        <v>17</v>
      </c>
      <c r="C34" s="5">
        <v>46294</v>
      </c>
      <c r="D34" t="s">
        <v>99</v>
      </c>
      <c r="E34" t="s">
        <v>125</v>
      </c>
      <c r="F34" t="s">
        <v>20</v>
      </c>
      <c r="G34" t="s">
        <v>20</v>
      </c>
      <c r="H34" t="s">
        <v>26</v>
      </c>
      <c r="I34" t="s">
        <v>71</v>
      </c>
      <c r="J34" t="s">
        <v>126</v>
      </c>
      <c r="K34" t="s">
        <v>127</v>
      </c>
    </row>
    <row r="35" spans="1:12" ht="15" customHeight="1">
      <c r="A35" t="s">
        <v>128</v>
      </c>
      <c r="B35" t="s">
        <v>17</v>
      </c>
      <c r="C35" s="5">
        <v>46294</v>
      </c>
      <c r="D35" t="s">
        <v>18</v>
      </c>
      <c r="E35" t="s">
        <v>67</v>
      </c>
      <c r="F35" t="s">
        <v>20</v>
      </c>
      <c r="G35" t="s">
        <v>20</v>
      </c>
      <c r="H35" t="s">
        <v>21</v>
      </c>
      <c r="I35" t="s">
        <v>22</v>
      </c>
      <c r="K35" t="s">
        <v>129</v>
      </c>
    </row>
    <row r="36" spans="1:12" ht="15" customHeight="1">
      <c r="A36" t="s">
        <v>130</v>
      </c>
      <c r="B36" t="s">
        <v>17</v>
      </c>
      <c r="C36" s="5">
        <v>46294</v>
      </c>
      <c r="D36" t="s">
        <v>99</v>
      </c>
      <c r="E36" t="s">
        <v>75</v>
      </c>
      <c r="F36" t="s">
        <v>25</v>
      </c>
      <c r="G36" t="s">
        <v>25</v>
      </c>
      <c r="H36" t="s">
        <v>26</v>
      </c>
      <c r="I36" t="s">
        <v>27</v>
      </c>
      <c r="J36" t="s">
        <v>131</v>
      </c>
      <c r="K36" t="s">
        <v>132</v>
      </c>
      <c r="L36" t="s">
        <v>20</v>
      </c>
    </row>
    <row r="37" spans="1:12" ht="15" customHeight="1">
      <c r="A37" t="s">
        <v>133</v>
      </c>
      <c r="B37" t="s">
        <v>17</v>
      </c>
      <c r="C37" s="5">
        <v>46294</v>
      </c>
      <c r="D37" t="s">
        <v>99</v>
      </c>
      <c r="E37" t="s">
        <v>89</v>
      </c>
      <c r="F37" t="s">
        <v>20</v>
      </c>
      <c r="G37" t="s">
        <v>20</v>
      </c>
      <c r="H37" t="s">
        <v>21</v>
      </c>
      <c r="I37" t="s">
        <v>22</v>
      </c>
      <c r="K37" t="s">
        <v>134</v>
      </c>
    </row>
    <row r="38" spans="1:12" ht="15" customHeight="1">
      <c r="A38" t="s">
        <v>135</v>
      </c>
      <c r="B38" t="s">
        <v>17</v>
      </c>
      <c r="C38" s="5">
        <v>46294</v>
      </c>
      <c r="D38" t="s">
        <v>99</v>
      </c>
      <c r="E38" t="s">
        <v>89</v>
      </c>
      <c r="F38" t="s">
        <v>20</v>
      </c>
      <c r="G38" t="s">
        <v>20</v>
      </c>
      <c r="H38" t="s">
        <v>21</v>
      </c>
      <c r="I38" t="s">
        <v>22</v>
      </c>
      <c r="K38" t="s">
        <v>136</v>
      </c>
    </row>
    <row r="39" spans="1:12" ht="15" customHeight="1">
      <c r="A39" t="s">
        <v>137</v>
      </c>
      <c r="B39" t="s">
        <v>17</v>
      </c>
      <c r="C39" s="5">
        <v>46294</v>
      </c>
      <c r="D39" t="s">
        <v>99</v>
      </c>
      <c r="E39" t="s">
        <v>89</v>
      </c>
      <c r="F39" t="s">
        <v>25</v>
      </c>
      <c r="G39" t="s">
        <v>20</v>
      </c>
      <c r="H39" t="s">
        <v>26</v>
      </c>
      <c r="I39" t="s">
        <v>63</v>
      </c>
      <c r="J39" t="s">
        <v>108</v>
      </c>
      <c r="K39" t="s">
        <v>138</v>
      </c>
    </row>
    <row r="40" spans="1:12" ht="15" customHeight="1">
      <c r="A40" t="s">
        <v>139</v>
      </c>
      <c r="B40" t="s">
        <v>17</v>
      </c>
      <c r="C40" s="5">
        <v>46294</v>
      </c>
      <c r="D40" t="s">
        <v>99</v>
      </c>
      <c r="E40" t="s">
        <v>89</v>
      </c>
      <c r="F40" t="s">
        <v>20</v>
      </c>
      <c r="G40" t="s">
        <v>20</v>
      </c>
      <c r="H40" t="s">
        <v>26</v>
      </c>
      <c r="I40" t="s">
        <v>71</v>
      </c>
      <c r="J40" t="s">
        <v>140</v>
      </c>
      <c r="K40" t="s">
        <v>141</v>
      </c>
    </row>
    <row r="41" spans="1:12" ht="15" customHeight="1">
      <c r="A41" t="s">
        <v>142</v>
      </c>
      <c r="B41" t="s">
        <v>17</v>
      </c>
      <c r="C41" s="5">
        <v>46294</v>
      </c>
      <c r="D41" t="s">
        <v>99</v>
      </c>
      <c r="E41" t="s">
        <v>89</v>
      </c>
      <c r="F41" t="s">
        <v>25</v>
      </c>
      <c r="G41" t="s">
        <v>20</v>
      </c>
      <c r="H41" t="s">
        <v>26</v>
      </c>
      <c r="I41" t="s">
        <v>63</v>
      </c>
      <c r="J41" t="s">
        <v>143</v>
      </c>
      <c r="K41" t="s">
        <v>144</v>
      </c>
    </row>
    <row r="42" spans="1:12" ht="15" customHeight="1">
      <c r="A42" t="s">
        <v>145</v>
      </c>
      <c r="B42" t="s">
        <v>17</v>
      </c>
      <c r="C42" s="5">
        <v>46294</v>
      </c>
      <c r="D42" t="s">
        <v>99</v>
      </c>
      <c r="E42" t="s">
        <v>89</v>
      </c>
      <c r="F42" t="s">
        <v>20</v>
      </c>
      <c r="G42" t="s">
        <v>20</v>
      </c>
      <c r="H42" t="s">
        <v>21</v>
      </c>
      <c r="I42" t="s">
        <v>22</v>
      </c>
      <c r="K42" t="s">
        <v>146</v>
      </c>
    </row>
    <row r="43" spans="1:12" ht="15" customHeight="1">
      <c r="A43" t="s">
        <v>147</v>
      </c>
      <c r="B43" t="s">
        <v>17</v>
      </c>
      <c r="C43" s="5">
        <v>46294</v>
      </c>
      <c r="D43" t="s">
        <v>99</v>
      </c>
      <c r="E43" t="s">
        <v>89</v>
      </c>
      <c r="F43" t="s">
        <v>25</v>
      </c>
      <c r="G43" t="s">
        <v>20</v>
      </c>
      <c r="H43" t="s">
        <v>26</v>
      </c>
      <c r="I43" t="s">
        <v>63</v>
      </c>
      <c r="J43" t="s">
        <v>148</v>
      </c>
      <c r="K43" t="s">
        <v>149</v>
      </c>
    </row>
    <row r="44" spans="1:12" ht="15" customHeight="1">
      <c r="A44" t="s">
        <v>150</v>
      </c>
      <c r="B44" t="s">
        <v>17</v>
      </c>
      <c r="C44" s="5">
        <v>46294</v>
      </c>
      <c r="D44" t="s">
        <v>99</v>
      </c>
      <c r="E44" t="s">
        <v>89</v>
      </c>
      <c r="F44" t="s">
        <v>20</v>
      </c>
      <c r="G44" t="s">
        <v>20</v>
      </c>
      <c r="H44" t="s">
        <v>26</v>
      </c>
      <c r="I44" t="s">
        <v>71</v>
      </c>
      <c r="J44" t="s">
        <v>122</v>
      </c>
      <c r="K44" t="s">
        <v>151</v>
      </c>
    </row>
    <row r="45" spans="1:12" ht="15" customHeight="1">
      <c r="A45" t="s">
        <v>152</v>
      </c>
      <c r="B45" t="s">
        <v>17</v>
      </c>
      <c r="C45" s="5">
        <v>46294</v>
      </c>
      <c r="D45" t="s">
        <v>99</v>
      </c>
      <c r="E45" t="s">
        <v>89</v>
      </c>
      <c r="F45" t="s">
        <v>20</v>
      </c>
      <c r="G45" t="s">
        <v>20</v>
      </c>
      <c r="H45" t="s">
        <v>21</v>
      </c>
      <c r="I45" t="s">
        <v>71</v>
      </c>
      <c r="J45" t="s">
        <v>153</v>
      </c>
      <c r="K45" t="s">
        <v>154</v>
      </c>
    </row>
    <row r="46" spans="1:12" ht="15" customHeight="1">
      <c r="A46" t="s">
        <v>155</v>
      </c>
      <c r="B46" t="s">
        <v>17</v>
      </c>
      <c r="C46" s="5">
        <v>46294</v>
      </c>
      <c r="D46" t="s">
        <v>99</v>
      </c>
      <c r="E46" t="s">
        <v>89</v>
      </c>
      <c r="F46" t="s">
        <v>20</v>
      </c>
      <c r="G46" t="s">
        <v>20</v>
      </c>
      <c r="H46" t="s">
        <v>21</v>
      </c>
      <c r="I46" t="s">
        <v>71</v>
      </c>
      <c r="J46" t="s">
        <v>72</v>
      </c>
      <c r="K46" t="s">
        <v>156</v>
      </c>
    </row>
    <row r="47" spans="1:12" ht="15" customHeight="1">
      <c r="A47" t="s">
        <v>157</v>
      </c>
      <c r="B47" t="s">
        <v>17</v>
      </c>
      <c r="C47" s="5">
        <v>46294</v>
      </c>
      <c r="D47" t="s">
        <v>99</v>
      </c>
      <c r="E47" t="s">
        <v>89</v>
      </c>
      <c r="F47" t="s">
        <v>20</v>
      </c>
      <c r="G47" t="s">
        <v>20</v>
      </c>
      <c r="H47" t="s">
        <v>21</v>
      </c>
      <c r="I47" t="s">
        <v>71</v>
      </c>
      <c r="J47" t="s">
        <v>158</v>
      </c>
      <c r="K47" t="s">
        <v>159</v>
      </c>
      <c r="L47" t="s">
        <v>20</v>
      </c>
    </row>
    <row r="48" spans="1:12" ht="15" customHeight="1">
      <c r="A48" t="s">
        <v>160</v>
      </c>
      <c r="B48" t="s">
        <v>17</v>
      </c>
      <c r="C48" s="5">
        <v>46294</v>
      </c>
      <c r="D48" t="s">
        <v>99</v>
      </c>
      <c r="E48" t="s">
        <v>89</v>
      </c>
      <c r="F48" t="s">
        <v>20</v>
      </c>
      <c r="G48" t="s">
        <v>20</v>
      </c>
      <c r="H48" t="s">
        <v>21</v>
      </c>
      <c r="I48" t="s">
        <v>22</v>
      </c>
      <c r="K48" t="s">
        <v>161</v>
      </c>
    </row>
    <row r="49" spans="1:12" ht="15" customHeight="1">
      <c r="A49" t="s">
        <v>162</v>
      </c>
      <c r="B49" t="s">
        <v>17</v>
      </c>
      <c r="C49" s="5">
        <v>46294</v>
      </c>
      <c r="D49" t="s">
        <v>99</v>
      </c>
      <c r="E49" t="s">
        <v>89</v>
      </c>
      <c r="F49" t="s">
        <v>25</v>
      </c>
      <c r="G49" t="s">
        <v>20</v>
      </c>
      <c r="H49" t="s">
        <v>26</v>
      </c>
      <c r="I49" t="s">
        <v>63</v>
      </c>
      <c r="J49" t="s">
        <v>163</v>
      </c>
      <c r="K49" t="s">
        <v>164</v>
      </c>
    </row>
    <row r="50" spans="1:12" ht="15" customHeight="1">
      <c r="A50" t="s">
        <v>165</v>
      </c>
      <c r="B50" t="s">
        <v>17</v>
      </c>
      <c r="C50" s="5">
        <v>46294</v>
      </c>
      <c r="D50" t="s">
        <v>99</v>
      </c>
      <c r="E50" t="s">
        <v>89</v>
      </c>
      <c r="F50" t="s">
        <v>25</v>
      </c>
      <c r="G50" t="s">
        <v>20</v>
      </c>
      <c r="H50" t="s">
        <v>26</v>
      </c>
      <c r="I50" t="s">
        <v>63</v>
      </c>
      <c r="J50" t="s">
        <v>148</v>
      </c>
      <c r="K50" t="s">
        <v>166</v>
      </c>
      <c r="L50" t="s">
        <v>25</v>
      </c>
    </row>
    <row r="51" spans="1:12" ht="15" customHeight="1">
      <c r="A51" t="s">
        <v>167</v>
      </c>
      <c r="B51" t="s">
        <v>17</v>
      </c>
      <c r="C51" s="5">
        <v>46294</v>
      </c>
      <c r="D51" t="s">
        <v>99</v>
      </c>
      <c r="E51" t="s">
        <v>89</v>
      </c>
      <c r="F51" t="s">
        <v>20</v>
      </c>
      <c r="G51" t="s">
        <v>20</v>
      </c>
      <c r="H51" t="s">
        <v>21</v>
      </c>
      <c r="I51" t="s">
        <v>22</v>
      </c>
      <c r="K51" t="s">
        <v>168</v>
      </c>
    </row>
    <row r="52" spans="1:12" ht="15" customHeight="1">
      <c r="A52" t="s">
        <v>169</v>
      </c>
      <c r="B52" t="s">
        <v>17</v>
      </c>
      <c r="C52" s="5">
        <v>46294</v>
      </c>
      <c r="D52" t="s">
        <v>99</v>
      </c>
      <c r="E52" t="s">
        <v>67</v>
      </c>
      <c r="F52" t="s">
        <v>25</v>
      </c>
      <c r="G52" t="s">
        <v>20</v>
      </c>
      <c r="H52" t="s">
        <v>26</v>
      </c>
      <c r="I52" t="s">
        <v>63</v>
      </c>
      <c r="J52" t="s">
        <v>170</v>
      </c>
      <c r="K52" t="s">
        <v>171</v>
      </c>
    </row>
    <row r="53" spans="1:12" ht="15" customHeight="1">
      <c r="A53" t="s">
        <v>172</v>
      </c>
      <c r="B53" t="s">
        <v>17</v>
      </c>
      <c r="C53" s="5">
        <v>46294</v>
      </c>
      <c r="D53" t="s">
        <v>99</v>
      </c>
      <c r="E53" t="s">
        <v>67</v>
      </c>
      <c r="F53" t="s">
        <v>20</v>
      </c>
      <c r="G53" t="s">
        <v>20</v>
      </c>
      <c r="H53" t="s">
        <v>21</v>
      </c>
      <c r="I53" t="s">
        <v>22</v>
      </c>
      <c r="K53" t="s">
        <v>173</v>
      </c>
    </row>
    <row r="54" spans="1:12" ht="15" customHeight="1">
      <c r="A54" t="s">
        <v>174</v>
      </c>
      <c r="B54" t="s">
        <v>17</v>
      </c>
      <c r="C54" s="5">
        <v>46294</v>
      </c>
      <c r="D54" t="s">
        <v>99</v>
      </c>
      <c r="E54" t="s">
        <v>67</v>
      </c>
      <c r="F54" t="s">
        <v>25</v>
      </c>
      <c r="G54" t="s">
        <v>20</v>
      </c>
      <c r="H54" t="s">
        <v>26</v>
      </c>
      <c r="I54" t="s">
        <v>63</v>
      </c>
      <c r="J54" t="s">
        <v>175</v>
      </c>
      <c r="K54" t="s">
        <v>176</v>
      </c>
    </row>
    <row r="55" spans="1:12" ht="15" customHeight="1">
      <c r="A55" t="s">
        <v>177</v>
      </c>
      <c r="B55" t="s">
        <v>17</v>
      </c>
      <c r="C55" s="5">
        <v>46294</v>
      </c>
      <c r="D55" t="s">
        <v>99</v>
      </c>
      <c r="E55" t="s">
        <v>67</v>
      </c>
      <c r="F55" t="s">
        <v>25</v>
      </c>
      <c r="G55" t="s">
        <v>20</v>
      </c>
      <c r="H55" t="s">
        <v>26</v>
      </c>
      <c r="I55" t="s">
        <v>63</v>
      </c>
      <c r="J55" t="s">
        <v>178</v>
      </c>
      <c r="K55" t="s">
        <v>179</v>
      </c>
    </row>
    <row r="56" spans="1:12" ht="15" customHeight="1">
      <c r="A56" t="s">
        <v>180</v>
      </c>
      <c r="B56" t="s">
        <v>17</v>
      </c>
      <c r="C56" s="5">
        <v>46294</v>
      </c>
      <c r="D56" t="s">
        <v>99</v>
      </c>
      <c r="E56" t="s">
        <v>67</v>
      </c>
      <c r="F56" t="s">
        <v>25</v>
      </c>
      <c r="G56" t="s">
        <v>20</v>
      </c>
      <c r="H56" t="s">
        <v>26</v>
      </c>
      <c r="I56" t="s">
        <v>63</v>
      </c>
      <c r="J56" t="s">
        <v>178</v>
      </c>
      <c r="K56" t="s">
        <v>181</v>
      </c>
    </row>
    <row r="57" spans="1:12" ht="15" customHeight="1">
      <c r="A57" t="s">
        <v>182</v>
      </c>
      <c r="B57" t="s">
        <v>17</v>
      </c>
      <c r="C57" s="5">
        <v>46294</v>
      </c>
      <c r="D57" t="s">
        <v>99</v>
      </c>
      <c r="E57" t="s">
        <v>59</v>
      </c>
      <c r="F57" t="s">
        <v>20</v>
      </c>
      <c r="G57" t="s">
        <v>20</v>
      </c>
      <c r="H57" t="s">
        <v>21</v>
      </c>
      <c r="I57" t="s">
        <v>71</v>
      </c>
      <c r="J57" t="s">
        <v>153</v>
      </c>
      <c r="K57" t="s">
        <v>183</v>
      </c>
    </row>
    <row r="58" spans="1:12" ht="15" customHeight="1">
      <c r="A58" t="s">
        <v>184</v>
      </c>
      <c r="B58" t="s">
        <v>17</v>
      </c>
      <c r="C58" s="5">
        <v>46294</v>
      </c>
      <c r="D58" t="s">
        <v>99</v>
      </c>
      <c r="E58" t="s">
        <v>50</v>
      </c>
      <c r="F58" t="s">
        <v>20</v>
      </c>
      <c r="G58" t="s">
        <v>20</v>
      </c>
      <c r="H58" t="s">
        <v>21</v>
      </c>
      <c r="I58" t="s">
        <v>22</v>
      </c>
      <c r="K58" t="s">
        <v>185</v>
      </c>
    </row>
    <row r="59" spans="1:12" ht="15" customHeight="1">
      <c r="A59" t="s">
        <v>186</v>
      </c>
      <c r="B59" t="s">
        <v>17</v>
      </c>
      <c r="C59" s="5">
        <v>46294</v>
      </c>
      <c r="D59" t="s">
        <v>99</v>
      </c>
      <c r="E59" t="s">
        <v>85</v>
      </c>
      <c r="F59" t="s">
        <v>20</v>
      </c>
      <c r="G59" t="s">
        <v>20</v>
      </c>
      <c r="H59" t="s">
        <v>21</v>
      </c>
      <c r="I59" t="s">
        <v>22</v>
      </c>
      <c r="K59" t="s">
        <v>187</v>
      </c>
    </row>
    <row r="60" spans="1:12" ht="15" customHeight="1">
      <c r="A60" t="s">
        <v>188</v>
      </c>
      <c r="B60" t="s">
        <v>17</v>
      </c>
      <c r="C60" s="5">
        <v>46294</v>
      </c>
      <c r="D60" t="s">
        <v>99</v>
      </c>
      <c r="E60" t="s">
        <v>79</v>
      </c>
      <c r="F60" t="s">
        <v>20</v>
      </c>
      <c r="G60" t="s">
        <v>20</v>
      </c>
      <c r="H60" t="s">
        <v>21</v>
      </c>
      <c r="I60" t="s">
        <v>22</v>
      </c>
      <c r="K60" t="s">
        <v>189</v>
      </c>
    </row>
    <row r="61" spans="1:12" ht="15" customHeight="1">
      <c r="A61" t="s">
        <v>190</v>
      </c>
      <c r="B61" t="s">
        <v>17</v>
      </c>
      <c r="C61" s="5">
        <v>46294</v>
      </c>
      <c r="D61" t="s">
        <v>99</v>
      </c>
      <c r="E61" t="s">
        <v>79</v>
      </c>
      <c r="F61" t="s">
        <v>25</v>
      </c>
      <c r="G61" t="s">
        <v>20</v>
      </c>
      <c r="H61" t="s">
        <v>26</v>
      </c>
      <c r="I61" t="s">
        <v>63</v>
      </c>
      <c r="J61" t="s">
        <v>191</v>
      </c>
      <c r="K61" t="s">
        <v>192</v>
      </c>
    </row>
    <row r="62" spans="1:12" ht="15" customHeight="1">
      <c r="A62" t="s">
        <v>193</v>
      </c>
      <c r="B62" t="s">
        <v>17</v>
      </c>
      <c r="C62" s="5">
        <v>46294</v>
      </c>
      <c r="D62" t="s">
        <v>99</v>
      </c>
      <c r="E62" t="s">
        <v>70</v>
      </c>
      <c r="F62" t="s">
        <v>20</v>
      </c>
      <c r="G62" t="s">
        <v>20</v>
      </c>
      <c r="H62" t="s">
        <v>21</v>
      </c>
      <c r="I62" t="s">
        <v>22</v>
      </c>
      <c r="K62" t="s">
        <v>194</v>
      </c>
    </row>
    <row r="63" spans="1:12" ht="15" customHeight="1">
      <c r="A63" t="s">
        <v>195</v>
      </c>
      <c r="B63" t="s">
        <v>17</v>
      </c>
      <c r="C63" s="5">
        <v>46294</v>
      </c>
      <c r="D63" t="s">
        <v>99</v>
      </c>
      <c r="E63" t="s">
        <v>70</v>
      </c>
      <c r="F63" t="s">
        <v>20</v>
      </c>
      <c r="G63" t="s">
        <v>20</v>
      </c>
      <c r="H63" t="s">
        <v>26</v>
      </c>
      <c r="I63" t="s">
        <v>71</v>
      </c>
      <c r="J63" t="s">
        <v>196</v>
      </c>
      <c r="K63" t="s">
        <v>197</v>
      </c>
    </row>
    <row r="64" spans="1:12" ht="15" customHeight="1">
      <c r="A64" t="s">
        <v>198</v>
      </c>
      <c r="B64" t="s">
        <v>17</v>
      </c>
      <c r="C64" s="5">
        <v>46294</v>
      </c>
      <c r="D64" t="s">
        <v>99</v>
      </c>
      <c r="E64" t="s">
        <v>70</v>
      </c>
      <c r="F64" t="s">
        <v>20</v>
      </c>
      <c r="G64" t="s">
        <v>20</v>
      </c>
      <c r="H64" t="s">
        <v>26</v>
      </c>
      <c r="I64" t="s">
        <v>71</v>
      </c>
      <c r="J64" t="s">
        <v>153</v>
      </c>
      <c r="K64" t="s">
        <v>199</v>
      </c>
    </row>
    <row r="65" spans="1:11" ht="15" customHeight="1">
      <c r="A65" t="s">
        <v>200</v>
      </c>
      <c r="B65" t="s">
        <v>17</v>
      </c>
      <c r="C65" s="5">
        <v>46294</v>
      </c>
      <c r="D65" t="s">
        <v>99</v>
      </c>
      <c r="E65" t="s">
        <v>70</v>
      </c>
      <c r="F65" t="s">
        <v>20</v>
      </c>
      <c r="G65" t="s">
        <v>20</v>
      </c>
      <c r="H65" t="s">
        <v>26</v>
      </c>
      <c r="I65" t="s">
        <v>71</v>
      </c>
      <c r="J65" t="s">
        <v>140</v>
      </c>
      <c r="K65" t="s">
        <v>201</v>
      </c>
    </row>
    <row r="66" spans="1:11" ht="15" customHeight="1">
      <c r="A66" t="s">
        <v>202</v>
      </c>
      <c r="B66" t="s">
        <v>17</v>
      </c>
      <c r="C66" s="5">
        <v>46287</v>
      </c>
      <c r="D66" t="s">
        <v>18</v>
      </c>
      <c r="E66" t="s">
        <v>19</v>
      </c>
      <c r="F66" t="s">
        <v>20</v>
      </c>
      <c r="G66" t="s">
        <v>20</v>
      </c>
      <c r="H66" t="s">
        <v>21</v>
      </c>
      <c r="I66" t="s">
        <v>22</v>
      </c>
      <c r="K66" t="s">
        <v>203</v>
      </c>
    </row>
    <row r="67" spans="1:11" ht="15" customHeight="1">
      <c r="A67" t="s">
        <v>204</v>
      </c>
      <c r="B67" t="s">
        <v>17</v>
      </c>
      <c r="C67" s="5">
        <v>46287</v>
      </c>
      <c r="D67" t="s">
        <v>18</v>
      </c>
      <c r="E67" t="s">
        <v>19</v>
      </c>
      <c r="F67" t="s">
        <v>20</v>
      </c>
      <c r="G67" t="s">
        <v>20</v>
      </c>
      <c r="H67" t="s">
        <v>21</v>
      </c>
      <c r="I67" t="s">
        <v>22</v>
      </c>
      <c r="K67" t="s">
        <v>205</v>
      </c>
    </row>
    <row r="68" spans="1:11" ht="15" customHeight="1">
      <c r="A68" t="s">
        <v>206</v>
      </c>
      <c r="B68" t="s">
        <v>17</v>
      </c>
      <c r="C68" s="5">
        <v>46287</v>
      </c>
      <c r="D68" t="s">
        <v>18</v>
      </c>
      <c r="E68" t="s">
        <v>19</v>
      </c>
      <c r="F68" t="s">
        <v>20</v>
      </c>
      <c r="G68" t="s">
        <v>20</v>
      </c>
      <c r="H68" t="s">
        <v>21</v>
      </c>
      <c r="I68" t="s">
        <v>22</v>
      </c>
      <c r="K68" t="s">
        <v>207</v>
      </c>
    </row>
    <row r="69" spans="1:11" ht="15" customHeight="1">
      <c r="A69" t="s">
        <v>208</v>
      </c>
      <c r="B69" t="s">
        <v>17</v>
      </c>
      <c r="C69" s="5">
        <v>46287</v>
      </c>
      <c r="D69" t="s">
        <v>18</v>
      </c>
      <c r="E69" t="s">
        <v>19</v>
      </c>
      <c r="F69" t="s">
        <v>20</v>
      </c>
      <c r="G69" t="s">
        <v>20</v>
      </c>
      <c r="H69" t="s">
        <v>21</v>
      </c>
      <c r="I69" t="s">
        <v>22</v>
      </c>
      <c r="K69" t="s">
        <v>209</v>
      </c>
    </row>
    <row r="70" spans="1:11" ht="15" customHeight="1">
      <c r="A70" t="s">
        <v>210</v>
      </c>
      <c r="B70" t="s">
        <v>17</v>
      </c>
      <c r="C70" s="5">
        <v>46287</v>
      </c>
      <c r="D70" t="s">
        <v>18</v>
      </c>
      <c r="E70" t="s">
        <v>19</v>
      </c>
      <c r="F70" t="s">
        <v>20</v>
      </c>
      <c r="G70" t="s">
        <v>20</v>
      </c>
      <c r="H70" t="s">
        <v>21</v>
      </c>
      <c r="I70" t="s">
        <v>22</v>
      </c>
      <c r="K70" t="s">
        <v>211</v>
      </c>
    </row>
    <row r="71" spans="1:11" ht="15" customHeight="1">
      <c r="A71" t="s">
        <v>212</v>
      </c>
      <c r="B71" t="s">
        <v>17</v>
      </c>
      <c r="C71" s="5">
        <v>46287</v>
      </c>
      <c r="D71" t="s">
        <v>18</v>
      </c>
      <c r="E71" t="s">
        <v>19</v>
      </c>
      <c r="F71" t="s">
        <v>20</v>
      </c>
      <c r="G71" t="s">
        <v>20</v>
      </c>
      <c r="H71" t="s">
        <v>21</v>
      </c>
      <c r="I71" t="s">
        <v>22</v>
      </c>
      <c r="K71" t="s">
        <v>213</v>
      </c>
    </row>
    <row r="72" spans="1:11" ht="15" customHeight="1">
      <c r="A72" t="s">
        <v>214</v>
      </c>
      <c r="B72" t="s">
        <v>17</v>
      </c>
      <c r="C72" s="5">
        <v>46287</v>
      </c>
      <c r="D72" t="s">
        <v>18</v>
      </c>
      <c r="E72" t="s">
        <v>19</v>
      </c>
      <c r="F72" t="s">
        <v>20</v>
      </c>
      <c r="G72" t="s">
        <v>20</v>
      </c>
      <c r="H72" t="s">
        <v>21</v>
      </c>
      <c r="I72" t="s">
        <v>22</v>
      </c>
      <c r="K72" t="s">
        <v>215</v>
      </c>
    </row>
    <row r="73" spans="1:11" ht="15" customHeight="1">
      <c r="A73" t="s">
        <v>216</v>
      </c>
      <c r="B73" t="s">
        <v>17</v>
      </c>
      <c r="C73" s="5">
        <v>46287</v>
      </c>
      <c r="D73" t="s">
        <v>18</v>
      </c>
      <c r="E73" t="s">
        <v>19</v>
      </c>
      <c r="F73" t="s">
        <v>20</v>
      </c>
      <c r="G73" t="s">
        <v>20</v>
      </c>
      <c r="H73" t="s">
        <v>21</v>
      </c>
      <c r="I73" t="s">
        <v>22</v>
      </c>
      <c r="K73" t="s">
        <v>217</v>
      </c>
    </row>
    <row r="74" spans="1:11" ht="15" customHeight="1">
      <c r="A74" t="s">
        <v>218</v>
      </c>
      <c r="B74" t="s">
        <v>17</v>
      </c>
      <c r="C74" s="5">
        <v>46287</v>
      </c>
      <c r="D74" t="s">
        <v>18</v>
      </c>
      <c r="E74" t="s">
        <v>19</v>
      </c>
      <c r="F74" t="s">
        <v>20</v>
      </c>
      <c r="G74" t="s">
        <v>20</v>
      </c>
      <c r="H74" t="s">
        <v>21</v>
      </c>
      <c r="I74" t="s">
        <v>22</v>
      </c>
      <c r="K74" t="s">
        <v>219</v>
      </c>
    </row>
    <row r="75" spans="1:11" ht="15" customHeight="1">
      <c r="A75" t="s">
        <v>220</v>
      </c>
      <c r="B75" t="s">
        <v>17</v>
      </c>
      <c r="C75" s="5">
        <v>46287</v>
      </c>
      <c r="D75" t="s">
        <v>18</v>
      </c>
      <c r="E75" t="s">
        <v>19</v>
      </c>
      <c r="F75" t="s">
        <v>20</v>
      </c>
      <c r="G75" t="s">
        <v>20</v>
      </c>
      <c r="H75" t="s">
        <v>21</v>
      </c>
      <c r="I75" t="s">
        <v>71</v>
      </c>
      <c r="J75" t="s">
        <v>140</v>
      </c>
      <c r="K75" t="s">
        <v>221</v>
      </c>
    </row>
    <row r="76" spans="1:11" ht="15" customHeight="1">
      <c r="A76" t="s">
        <v>222</v>
      </c>
      <c r="B76" t="s">
        <v>17</v>
      </c>
      <c r="C76" s="5">
        <v>46287</v>
      </c>
      <c r="D76" t="s">
        <v>18</v>
      </c>
      <c r="E76" t="s">
        <v>19</v>
      </c>
      <c r="F76" t="s">
        <v>20</v>
      </c>
      <c r="G76" t="s">
        <v>20</v>
      </c>
      <c r="H76" t="s">
        <v>21</v>
      </c>
      <c r="I76" t="s">
        <v>22</v>
      </c>
      <c r="K76" t="s">
        <v>223</v>
      </c>
    </row>
    <row r="77" spans="1:11" ht="15" customHeight="1">
      <c r="A77" t="s">
        <v>224</v>
      </c>
      <c r="B77" t="s">
        <v>17</v>
      </c>
      <c r="C77" s="5">
        <v>46287</v>
      </c>
      <c r="D77" t="s">
        <v>18</v>
      </c>
      <c r="E77" t="s">
        <v>19</v>
      </c>
      <c r="F77" t="s">
        <v>20</v>
      </c>
      <c r="G77" t="s">
        <v>20</v>
      </c>
      <c r="H77" t="s">
        <v>21</v>
      </c>
      <c r="I77" t="s">
        <v>22</v>
      </c>
      <c r="K77" t="s">
        <v>225</v>
      </c>
    </row>
    <row r="78" spans="1:11" ht="15" customHeight="1">
      <c r="A78" t="s">
        <v>226</v>
      </c>
      <c r="B78" t="s">
        <v>17</v>
      </c>
      <c r="C78" s="5">
        <v>46287</v>
      </c>
      <c r="D78" t="s">
        <v>18</v>
      </c>
      <c r="E78" t="s">
        <v>19</v>
      </c>
      <c r="F78" t="s">
        <v>20</v>
      </c>
      <c r="G78" t="s">
        <v>20</v>
      </c>
      <c r="H78" t="s">
        <v>21</v>
      </c>
      <c r="I78" t="s">
        <v>22</v>
      </c>
      <c r="K78" t="s">
        <v>227</v>
      </c>
    </row>
    <row r="79" spans="1:11" ht="15" customHeight="1">
      <c r="A79" t="s">
        <v>228</v>
      </c>
      <c r="B79" t="s">
        <v>17</v>
      </c>
      <c r="C79" s="5">
        <v>46287</v>
      </c>
      <c r="D79" t="s">
        <v>18</v>
      </c>
      <c r="E79" t="s">
        <v>19</v>
      </c>
      <c r="F79" t="s">
        <v>20</v>
      </c>
      <c r="G79" t="s">
        <v>20</v>
      </c>
      <c r="H79" t="s">
        <v>21</v>
      </c>
      <c r="I79" t="s">
        <v>22</v>
      </c>
      <c r="K79" t="s">
        <v>229</v>
      </c>
    </row>
    <row r="80" spans="1:11" ht="15" customHeight="1">
      <c r="A80" t="s">
        <v>230</v>
      </c>
      <c r="B80" t="s">
        <v>17</v>
      </c>
      <c r="C80" s="5">
        <v>46287</v>
      </c>
      <c r="D80" t="s">
        <v>18</v>
      </c>
      <c r="E80" t="s">
        <v>19</v>
      </c>
      <c r="F80" t="s">
        <v>20</v>
      </c>
      <c r="G80" t="s">
        <v>20</v>
      </c>
      <c r="H80" t="s">
        <v>21</v>
      </c>
      <c r="I80" t="s">
        <v>22</v>
      </c>
      <c r="K80" t="s">
        <v>231</v>
      </c>
    </row>
    <row r="81" spans="1:11" ht="15" customHeight="1">
      <c r="A81" t="s">
        <v>232</v>
      </c>
      <c r="B81" t="s">
        <v>17</v>
      </c>
      <c r="C81" s="5">
        <v>46287</v>
      </c>
      <c r="D81" t="s">
        <v>18</v>
      </c>
      <c r="E81" t="s">
        <v>19</v>
      </c>
      <c r="F81" t="s">
        <v>20</v>
      </c>
      <c r="G81" t="s">
        <v>20</v>
      </c>
      <c r="H81" t="s">
        <v>21</v>
      </c>
      <c r="I81" t="s">
        <v>22</v>
      </c>
      <c r="K81" t="s">
        <v>233</v>
      </c>
    </row>
    <row r="82" spans="1:11" ht="15" customHeight="1">
      <c r="A82" t="s">
        <v>234</v>
      </c>
      <c r="B82" t="s">
        <v>17</v>
      </c>
      <c r="C82" s="5">
        <v>46287</v>
      </c>
      <c r="D82" t="s">
        <v>18</v>
      </c>
      <c r="E82" t="s">
        <v>19</v>
      </c>
      <c r="F82" t="s">
        <v>20</v>
      </c>
      <c r="G82" t="s">
        <v>20</v>
      </c>
      <c r="H82" t="s">
        <v>21</v>
      </c>
      <c r="I82" t="s">
        <v>22</v>
      </c>
      <c r="K82" t="s">
        <v>235</v>
      </c>
    </row>
    <row r="83" spans="1:11" ht="15" customHeight="1">
      <c r="A83" t="s">
        <v>236</v>
      </c>
      <c r="B83" t="s">
        <v>17</v>
      </c>
      <c r="C83" s="5">
        <v>46287</v>
      </c>
      <c r="D83" t="s">
        <v>18</v>
      </c>
      <c r="E83" t="s">
        <v>19</v>
      </c>
      <c r="F83" t="s">
        <v>20</v>
      </c>
      <c r="G83" t="s">
        <v>20</v>
      </c>
      <c r="H83" t="s">
        <v>21</v>
      </c>
      <c r="I83" t="s">
        <v>63</v>
      </c>
      <c r="J83" t="s">
        <v>140</v>
      </c>
      <c r="K83" t="s">
        <v>237</v>
      </c>
    </row>
    <row r="84" spans="1:11" ht="15" customHeight="1">
      <c r="A84" t="s">
        <v>238</v>
      </c>
      <c r="B84" t="s">
        <v>17</v>
      </c>
      <c r="C84" s="5">
        <v>46287</v>
      </c>
      <c r="D84" t="s">
        <v>18</v>
      </c>
      <c r="E84" t="s">
        <v>19</v>
      </c>
      <c r="F84" t="s">
        <v>20</v>
      </c>
      <c r="G84" t="s">
        <v>20</v>
      </c>
      <c r="H84" t="s">
        <v>21</v>
      </c>
      <c r="I84" t="s">
        <v>22</v>
      </c>
      <c r="K84" t="s">
        <v>239</v>
      </c>
    </row>
    <row r="85" spans="1:11" ht="15" customHeight="1">
      <c r="A85" t="s">
        <v>240</v>
      </c>
      <c r="B85" t="s">
        <v>17</v>
      </c>
      <c r="C85" s="5">
        <v>46287</v>
      </c>
      <c r="D85" t="s">
        <v>18</v>
      </c>
      <c r="E85" t="s">
        <v>19</v>
      </c>
      <c r="F85" t="s">
        <v>20</v>
      </c>
      <c r="G85" t="s">
        <v>20</v>
      </c>
      <c r="H85" t="s">
        <v>21</v>
      </c>
      <c r="I85" t="s">
        <v>22</v>
      </c>
      <c r="K85" t="s">
        <v>241</v>
      </c>
    </row>
    <row r="86" spans="1:11" ht="15" customHeight="1">
      <c r="A86" t="s">
        <v>242</v>
      </c>
      <c r="B86" t="s">
        <v>17</v>
      </c>
      <c r="C86" s="5">
        <v>46287</v>
      </c>
      <c r="D86" t="s">
        <v>18</v>
      </c>
      <c r="E86" t="s">
        <v>19</v>
      </c>
      <c r="F86" t="s">
        <v>20</v>
      </c>
      <c r="G86" t="s">
        <v>20</v>
      </c>
      <c r="H86" t="s">
        <v>21</v>
      </c>
      <c r="I86" t="s">
        <v>22</v>
      </c>
      <c r="K86" t="s">
        <v>243</v>
      </c>
    </row>
    <row r="87" spans="1:11" ht="15" customHeight="1">
      <c r="A87" t="s">
        <v>244</v>
      </c>
      <c r="B87" t="s">
        <v>17</v>
      </c>
      <c r="C87" s="5">
        <v>46287</v>
      </c>
      <c r="D87" t="s">
        <v>18</v>
      </c>
      <c r="E87" t="s">
        <v>19</v>
      </c>
      <c r="F87" t="s">
        <v>20</v>
      </c>
      <c r="G87" t="s">
        <v>20</v>
      </c>
      <c r="H87" t="s">
        <v>21</v>
      </c>
      <c r="I87" t="s">
        <v>22</v>
      </c>
      <c r="K87" t="s">
        <v>245</v>
      </c>
    </row>
    <row r="88" spans="1:11" ht="15" customHeight="1">
      <c r="A88" t="s">
        <v>246</v>
      </c>
      <c r="B88" t="s">
        <v>17</v>
      </c>
      <c r="C88" s="5">
        <v>46287</v>
      </c>
      <c r="D88" t="s">
        <v>18</v>
      </c>
      <c r="E88" t="s">
        <v>19</v>
      </c>
      <c r="F88" t="s">
        <v>20</v>
      </c>
      <c r="G88" t="s">
        <v>20</v>
      </c>
      <c r="H88" t="s">
        <v>21</v>
      </c>
      <c r="I88" t="s">
        <v>22</v>
      </c>
      <c r="K88" t="s">
        <v>247</v>
      </c>
    </row>
    <row r="89" spans="1:11" ht="15" customHeight="1">
      <c r="A89" t="s">
        <v>248</v>
      </c>
      <c r="B89" t="s">
        <v>17</v>
      </c>
      <c r="C89" s="5">
        <v>46287</v>
      </c>
      <c r="D89" t="s">
        <v>18</v>
      </c>
      <c r="E89" t="s">
        <v>19</v>
      </c>
      <c r="F89" t="s">
        <v>20</v>
      </c>
      <c r="G89" t="s">
        <v>20</v>
      </c>
      <c r="H89" t="s">
        <v>21</v>
      </c>
      <c r="I89" t="s">
        <v>22</v>
      </c>
      <c r="K89" t="s">
        <v>249</v>
      </c>
    </row>
    <row r="90" spans="1:11" ht="15" customHeight="1">
      <c r="A90" t="s">
        <v>250</v>
      </c>
      <c r="B90" t="s">
        <v>17</v>
      </c>
      <c r="C90" s="5">
        <v>46287</v>
      </c>
      <c r="D90" t="s">
        <v>18</v>
      </c>
      <c r="E90" t="s">
        <v>19</v>
      </c>
      <c r="F90" t="s">
        <v>20</v>
      </c>
      <c r="G90" t="s">
        <v>20</v>
      </c>
      <c r="H90" t="s">
        <v>21</v>
      </c>
      <c r="I90" t="s">
        <v>22</v>
      </c>
      <c r="K90" t="s">
        <v>251</v>
      </c>
    </row>
    <row r="91" spans="1:11" ht="15" customHeight="1">
      <c r="A91" t="s">
        <v>252</v>
      </c>
      <c r="B91" t="s">
        <v>17</v>
      </c>
      <c r="C91" s="5">
        <v>46294</v>
      </c>
      <c r="D91" t="s">
        <v>18</v>
      </c>
      <c r="E91" t="s">
        <v>32</v>
      </c>
      <c r="F91" t="s">
        <v>20</v>
      </c>
      <c r="G91" t="s">
        <v>20</v>
      </c>
      <c r="H91" t="s">
        <v>21</v>
      </c>
      <c r="I91" t="s">
        <v>22</v>
      </c>
      <c r="K91" t="s">
        <v>253</v>
      </c>
    </row>
    <row r="92" spans="1:11" ht="15" customHeight="1">
      <c r="A92" t="s">
        <v>254</v>
      </c>
      <c r="B92" t="s">
        <v>17</v>
      </c>
      <c r="C92" s="5">
        <v>46294</v>
      </c>
      <c r="D92" t="s">
        <v>18</v>
      </c>
      <c r="E92" t="s">
        <v>32</v>
      </c>
      <c r="F92" t="s">
        <v>20</v>
      </c>
      <c r="G92" t="s">
        <v>20</v>
      </c>
      <c r="H92" t="s">
        <v>21</v>
      </c>
      <c r="I92" t="s">
        <v>22</v>
      </c>
      <c r="K92" t="s">
        <v>255</v>
      </c>
    </row>
    <row r="93" spans="1:11" ht="15" customHeight="1">
      <c r="A93" t="s">
        <v>256</v>
      </c>
      <c r="B93" t="s">
        <v>17</v>
      </c>
      <c r="C93" s="5">
        <v>46294</v>
      </c>
      <c r="D93" t="s">
        <v>18</v>
      </c>
      <c r="E93" t="s">
        <v>32</v>
      </c>
      <c r="F93" t="s">
        <v>20</v>
      </c>
      <c r="G93" t="s">
        <v>20</v>
      </c>
      <c r="H93" t="s">
        <v>21</v>
      </c>
      <c r="I93" t="s">
        <v>22</v>
      </c>
      <c r="K93" t="s">
        <v>257</v>
      </c>
    </row>
    <row r="94" spans="1:11" ht="15" customHeight="1">
      <c r="A94" t="s">
        <v>258</v>
      </c>
      <c r="B94" t="s">
        <v>17</v>
      </c>
      <c r="C94" s="5">
        <v>46294</v>
      </c>
      <c r="D94" t="s">
        <v>18</v>
      </c>
      <c r="E94" t="s">
        <v>32</v>
      </c>
      <c r="F94" t="s">
        <v>20</v>
      </c>
      <c r="G94" t="s">
        <v>20</v>
      </c>
      <c r="H94" t="s">
        <v>21</v>
      </c>
      <c r="I94" t="s">
        <v>22</v>
      </c>
      <c r="K94" t="s">
        <v>259</v>
      </c>
    </row>
    <row r="95" spans="1:11" ht="15" customHeight="1">
      <c r="A95" t="s">
        <v>260</v>
      </c>
      <c r="B95" t="s">
        <v>17</v>
      </c>
      <c r="C95" s="5">
        <v>46294</v>
      </c>
      <c r="D95" t="s">
        <v>18</v>
      </c>
      <c r="E95" t="s">
        <v>32</v>
      </c>
      <c r="F95" t="s">
        <v>20</v>
      </c>
      <c r="G95" t="s">
        <v>20</v>
      </c>
      <c r="H95" t="s">
        <v>21</v>
      </c>
      <c r="I95" t="s">
        <v>22</v>
      </c>
      <c r="K95" t="s">
        <v>261</v>
      </c>
    </row>
    <row r="96" spans="1:11" ht="15" customHeight="1">
      <c r="A96" t="s">
        <v>262</v>
      </c>
      <c r="B96" t="s">
        <v>17</v>
      </c>
      <c r="C96" s="5">
        <v>46294</v>
      </c>
      <c r="D96" t="s">
        <v>18</v>
      </c>
      <c r="E96" t="s">
        <v>32</v>
      </c>
      <c r="F96" t="s">
        <v>20</v>
      </c>
      <c r="G96" t="s">
        <v>20</v>
      </c>
      <c r="H96" t="s">
        <v>21</v>
      </c>
      <c r="I96" t="s">
        <v>22</v>
      </c>
      <c r="K96" t="s">
        <v>263</v>
      </c>
    </row>
    <row r="97" spans="1:11" ht="15" customHeight="1">
      <c r="A97" t="s">
        <v>264</v>
      </c>
      <c r="B97" t="s">
        <v>17</v>
      </c>
      <c r="C97" s="5">
        <v>46294</v>
      </c>
      <c r="D97" t="s">
        <v>18</v>
      </c>
      <c r="E97" t="s">
        <v>32</v>
      </c>
      <c r="F97" t="s">
        <v>20</v>
      </c>
      <c r="G97" t="s">
        <v>20</v>
      </c>
      <c r="H97" t="s">
        <v>21</v>
      </c>
      <c r="I97" t="s">
        <v>22</v>
      </c>
      <c r="K97" t="s">
        <v>265</v>
      </c>
    </row>
    <row r="98" spans="1:11" ht="15" customHeight="1">
      <c r="A98" t="s">
        <v>266</v>
      </c>
      <c r="B98" t="s">
        <v>17</v>
      </c>
      <c r="C98" s="5">
        <v>46294</v>
      </c>
      <c r="D98" t="s">
        <v>18</v>
      </c>
      <c r="E98" t="s">
        <v>32</v>
      </c>
      <c r="F98" t="s">
        <v>20</v>
      </c>
      <c r="G98" t="s">
        <v>20</v>
      </c>
      <c r="H98" t="s">
        <v>21</v>
      </c>
      <c r="I98" t="s">
        <v>22</v>
      </c>
      <c r="K98" t="s">
        <v>267</v>
      </c>
    </row>
    <row r="99" spans="1:11" ht="15" customHeight="1">
      <c r="A99" t="s">
        <v>268</v>
      </c>
      <c r="B99" t="s">
        <v>17</v>
      </c>
      <c r="C99" s="5">
        <v>46294</v>
      </c>
      <c r="D99" t="s">
        <v>18</v>
      </c>
      <c r="E99" t="s">
        <v>32</v>
      </c>
      <c r="F99" t="s">
        <v>20</v>
      </c>
      <c r="G99" t="s">
        <v>20</v>
      </c>
      <c r="H99" t="s">
        <v>21</v>
      </c>
      <c r="I99" t="s">
        <v>22</v>
      </c>
      <c r="K99" t="s">
        <v>269</v>
      </c>
    </row>
    <row r="100" spans="1:11" ht="15" customHeight="1">
      <c r="A100" t="s">
        <v>270</v>
      </c>
      <c r="B100" t="s">
        <v>17</v>
      </c>
      <c r="C100" s="5">
        <v>46294</v>
      </c>
      <c r="D100" t="s">
        <v>18</v>
      </c>
      <c r="E100" t="s">
        <v>32</v>
      </c>
      <c r="F100" t="s">
        <v>20</v>
      </c>
      <c r="G100" t="s">
        <v>20</v>
      </c>
      <c r="H100" t="s">
        <v>21</v>
      </c>
      <c r="I100" t="s">
        <v>22</v>
      </c>
      <c r="K100" t="s">
        <v>271</v>
      </c>
    </row>
    <row r="101" spans="1:11" ht="15" customHeight="1">
      <c r="A101" t="s">
        <v>272</v>
      </c>
      <c r="B101" t="s">
        <v>17</v>
      </c>
      <c r="C101" s="5">
        <v>46294</v>
      </c>
      <c r="D101" t="s">
        <v>18</v>
      </c>
      <c r="E101" t="s">
        <v>32</v>
      </c>
      <c r="F101" t="s">
        <v>20</v>
      </c>
      <c r="G101" t="s">
        <v>20</v>
      </c>
      <c r="H101" t="s">
        <v>21</v>
      </c>
      <c r="I101" t="s">
        <v>22</v>
      </c>
      <c r="K101" t="s">
        <v>273</v>
      </c>
    </row>
    <row r="102" spans="1:11" ht="15" customHeight="1">
      <c r="A102" t="s">
        <v>274</v>
      </c>
      <c r="B102" t="s">
        <v>17</v>
      </c>
      <c r="C102" s="5">
        <v>46294</v>
      </c>
      <c r="D102" t="s">
        <v>18</v>
      </c>
      <c r="E102" t="s">
        <v>32</v>
      </c>
      <c r="F102" t="s">
        <v>20</v>
      </c>
      <c r="G102" t="s">
        <v>20</v>
      </c>
      <c r="H102" t="s">
        <v>21</v>
      </c>
      <c r="I102" t="s">
        <v>22</v>
      </c>
      <c r="K102" t="s">
        <v>275</v>
      </c>
    </row>
    <row r="103" spans="1:11" ht="15" customHeight="1">
      <c r="A103" t="s">
        <v>276</v>
      </c>
      <c r="B103" t="s">
        <v>17</v>
      </c>
      <c r="C103" s="5">
        <v>46294</v>
      </c>
      <c r="D103" t="s">
        <v>18</v>
      </c>
      <c r="E103" t="s">
        <v>32</v>
      </c>
      <c r="F103" t="s">
        <v>20</v>
      </c>
      <c r="G103" t="s">
        <v>20</v>
      </c>
      <c r="H103" t="s">
        <v>21</v>
      </c>
      <c r="I103" t="s">
        <v>22</v>
      </c>
      <c r="K103" t="s">
        <v>277</v>
      </c>
    </row>
    <row r="104" spans="1:11" ht="15" customHeight="1">
      <c r="A104" t="s">
        <v>278</v>
      </c>
      <c r="B104" t="s">
        <v>17</v>
      </c>
      <c r="C104" s="5">
        <v>46294</v>
      </c>
      <c r="D104" t="s">
        <v>18</v>
      </c>
      <c r="E104" t="s">
        <v>32</v>
      </c>
      <c r="F104" t="s">
        <v>20</v>
      </c>
      <c r="G104" t="s">
        <v>20</v>
      </c>
      <c r="H104" t="s">
        <v>21</v>
      </c>
      <c r="I104" t="s">
        <v>22</v>
      </c>
      <c r="K104" t="s">
        <v>279</v>
      </c>
    </row>
    <row r="105" spans="1:11" ht="15" customHeight="1">
      <c r="A105" t="s">
        <v>280</v>
      </c>
      <c r="B105" t="s">
        <v>17</v>
      </c>
      <c r="C105" s="5">
        <v>46294</v>
      </c>
      <c r="D105" t="s">
        <v>18</v>
      </c>
      <c r="E105" t="s">
        <v>32</v>
      </c>
      <c r="F105" t="s">
        <v>20</v>
      </c>
      <c r="G105" t="s">
        <v>20</v>
      </c>
      <c r="H105" t="s">
        <v>21</v>
      </c>
      <c r="I105" t="s">
        <v>22</v>
      </c>
      <c r="K105" t="s">
        <v>281</v>
      </c>
    </row>
    <row r="106" spans="1:11" ht="15" customHeight="1">
      <c r="A106" t="s">
        <v>282</v>
      </c>
      <c r="B106" t="s">
        <v>17</v>
      </c>
      <c r="C106" s="5">
        <v>46294</v>
      </c>
      <c r="D106" t="s">
        <v>18</v>
      </c>
      <c r="E106" t="s">
        <v>32</v>
      </c>
      <c r="F106" t="s">
        <v>20</v>
      </c>
      <c r="G106" t="s">
        <v>20</v>
      </c>
      <c r="H106" t="s">
        <v>21</v>
      </c>
      <c r="I106" t="s">
        <v>22</v>
      </c>
      <c r="K106" t="s">
        <v>283</v>
      </c>
    </row>
    <row r="107" spans="1:11" ht="15" customHeight="1">
      <c r="A107" t="s">
        <v>284</v>
      </c>
      <c r="B107" t="s">
        <v>17</v>
      </c>
      <c r="C107" s="5">
        <v>46294</v>
      </c>
      <c r="D107" t="s">
        <v>18</v>
      </c>
      <c r="E107" t="s">
        <v>32</v>
      </c>
      <c r="F107" t="s">
        <v>25</v>
      </c>
      <c r="G107" t="s">
        <v>20</v>
      </c>
      <c r="H107" t="s">
        <v>26</v>
      </c>
      <c r="I107" t="s">
        <v>63</v>
      </c>
      <c r="J107" t="s">
        <v>285</v>
      </c>
      <c r="K107" t="s">
        <v>286</v>
      </c>
    </row>
    <row r="108" spans="1:11" ht="15" customHeight="1">
      <c r="A108" t="s">
        <v>287</v>
      </c>
      <c r="B108" t="s">
        <v>17</v>
      </c>
      <c r="C108" s="5">
        <v>46294</v>
      </c>
      <c r="D108" t="s">
        <v>18</v>
      </c>
      <c r="E108" t="s">
        <v>35</v>
      </c>
      <c r="F108" t="s">
        <v>20</v>
      </c>
      <c r="G108" t="s">
        <v>20</v>
      </c>
      <c r="H108" t="s">
        <v>21</v>
      </c>
      <c r="I108" t="s">
        <v>71</v>
      </c>
      <c r="J108" t="s">
        <v>288</v>
      </c>
      <c r="K108" t="s">
        <v>289</v>
      </c>
    </row>
    <row r="109" spans="1:11" ht="15" customHeight="1">
      <c r="A109" t="s">
        <v>290</v>
      </c>
      <c r="B109" t="s">
        <v>17</v>
      </c>
      <c r="C109" s="5">
        <v>46294</v>
      </c>
      <c r="D109" t="s">
        <v>18</v>
      </c>
      <c r="E109" t="s">
        <v>35</v>
      </c>
      <c r="F109" t="s">
        <v>20</v>
      </c>
      <c r="G109" t="s">
        <v>20</v>
      </c>
      <c r="H109" t="s">
        <v>21</v>
      </c>
      <c r="I109" t="s">
        <v>71</v>
      </c>
      <c r="J109" t="s">
        <v>288</v>
      </c>
      <c r="K109" t="s">
        <v>291</v>
      </c>
    </row>
    <row r="110" spans="1:11" ht="15" customHeight="1">
      <c r="A110" t="s">
        <v>292</v>
      </c>
      <c r="B110" t="s">
        <v>17</v>
      </c>
      <c r="C110" s="5">
        <v>46294</v>
      </c>
      <c r="D110" t="s">
        <v>18</v>
      </c>
      <c r="E110" t="s">
        <v>35</v>
      </c>
      <c r="F110" t="s">
        <v>20</v>
      </c>
      <c r="G110" t="s">
        <v>20</v>
      </c>
      <c r="H110" t="s">
        <v>21</v>
      </c>
      <c r="I110" t="s">
        <v>71</v>
      </c>
      <c r="J110" t="s">
        <v>288</v>
      </c>
      <c r="K110" t="s">
        <v>293</v>
      </c>
    </row>
    <row r="111" spans="1:11" ht="15" customHeight="1">
      <c r="A111" t="s">
        <v>294</v>
      </c>
      <c r="B111" t="s">
        <v>17</v>
      </c>
      <c r="C111" s="5">
        <v>46294</v>
      </c>
      <c r="D111" t="s">
        <v>18</v>
      </c>
      <c r="E111" t="s">
        <v>35</v>
      </c>
      <c r="F111" t="s">
        <v>20</v>
      </c>
      <c r="G111" t="s">
        <v>20</v>
      </c>
      <c r="H111" t="s">
        <v>21</v>
      </c>
      <c r="I111" t="s">
        <v>71</v>
      </c>
      <c r="J111" t="s">
        <v>288</v>
      </c>
      <c r="K111" t="s">
        <v>295</v>
      </c>
    </row>
    <row r="112" spans="1:11" ht="15" customHeight="1">
      <c r="A112" t="s">
        <v>296</v>
      </c>
      <c r="B112" t="s">
        <v>17</v>
      </c>
      <c r="C112" s="5">
        <v>46294</v>
      </c>
      <c r="D112" t="s">
        <v>18</v>
      </c>
      <c r="E112" t="s">
        <v>35</v>
      </c>
      <c r="F112" t="s">
        <v>20</v>
      </c>
      <c r="G112" t="s">
        <v>20</v>
      </c>
      <c r="H112" t="s">
        <v>21</v>
      </c>
      <c r="I112" t="s">
        <v>71</v>
      </c>
      <c r="J112" t="s">
        <v>288</v>
      </c>
      <c r="K112" t="s">
        <v>297</v>
      </c>
    </row>
    <row r="113" spans="1:12" ht="15" customHeight="1">
      <c r="A113" t="s">
        <v>298</v>
      </c>
      <c r="B113" t="s">
        <v>17</v>
      </c>
      <c r="C113" s="5">
        <v>46294</v>
      </c>
      <c r="D113" t="s">
        <v>18</v>
      </c>
      <c r="E113" t="s">
        <v>35</v>
      </c>
      <c r="F113" t="s">
        <v>20</v>
      </c>
      <c r="G113" t="s">
        <v>20</v>
      </c>
      <c r="H113" t="s">
        <v>21</v>
      </c>
      <c r="I113" t="s">
        <v>71</v>
      </c>
      <c r="J113" t="s">
        <v>288</v>
      </c>
      <c r="K113" t="s">
        <v>299</v>
      </c>
    </row>
    <row r="114" spans="1:12" ht="15" customHeight="1">
      <c r="A114" t="s">
        <v>300</v>
      </c>
      <c r="B114" t="s">
        <v>17</v>
      </c>
      <c r="C114" s="5">
        <v>46294</v>
      </c>
      <c r="D114" t="s">
        <v>18</v>
      </c>
      <c r="E114" t="s">
        <v>35</v>
      </c>
      <c r="F114" t="s">
        <v>20</v>
      </c>
      <c r="G114" t="s">
        <v>20</v>
      </c>
      <c r="H114" t="s">
        <v>21</v>
      </c>
      <c r="I114" t="s">
        <v>71</v>
      </c>
      <c r="J114" t="s">
        <v>288</v>
      </c>
      <c r="K114" t="s">
        <v>301</v>
      </c>
    </row>
    <row r="115" spans="1:12" ht="15" customHeight="1">
      <c r="A115" t="s">
        <v>302</v>
      </c>
      <c r="B115" t="s">
        <v>17</v>
      </c>
      <c r="C115" s="5">
        <v>46294</v>
      </c>
      <c r="D115" t="s">
        <v>18</v>
      </c>
      <c r="E115" t="s">
        <v>35</v>
      </c>
      <c r="F115" t="s">
        <v>20</v>
      </c>
      <c r="G115" t="s">
        <v>20</v>
      </c>
      <c r="H115" t="s">
        <v>21</v>
      </c>
      <c r="I115" t="s">
        <v>71</v>
      </c>
      <c r="J115" t="s">
        <v>288</v>
      </c>
      <c r="K115" t="s">
        <v>303</v>
      </c>
    </row>
    <row r="116" spans="1:12" ht="15" customHeight="1">
      <c r="A116" t="s">
        <v>304</v>
      </c>
      <c r="B116" t="s">
        <v>17</v>
      </c>
      <c r="C116" s="5">
        <v>46294</v>
      </c>
      <c r="D116" t="s">
        <v>18</v>
      </c>
      <c r="E116" t="s">
        <v>35</v>
      </c>
      <c r="F116" t="s">
        <v>20</v>
      </c>
      <c r="G116" t="s">
        <v>20</v>
      </c>
      <c r="H116" t="s">
        <v>21</v>
      </c>
      <c r="I116" t="s">
        <v>71</v>
      </c>
      <c r="J116" t="s">
        <v>288</v>
      </c>
      <c r="K116" t="s">
        <v>305</v>
      </c>
    </row>
    <row r="117" spans="1:12" ht="15" customHeight="1">
      <c r="A117" t="s">
        <v>306</v>
      </c>
      <c r="B117" t="s">
        <v>17</v>
      </c>
      <c r="C117" s="5">
        <v>46294</v>
      </c>
      <c r="D117" t="s">
        <v>18</v>
      </c>
      <c r="E117" t="s">
        <v>35</v>
      </c>
      <c r="F117" t="s">
        <v>25</v>
      </c>
      <c r="G117" t="s">
        <v>20</v>
      </c>
      <c r="H117" t="s">
        <v>26</v>
      </c>
      <c r="I117" t="s">
        <v>63</v>
      </c>
      <c r="J117" t="s">
        <v>307</v>
      </c>
      <c r="K117" t="s">
        <v>308</v>
      </c>
    </row>
    <row r="118" spans="1:12" ht="15" customHeight="1">
      <c r="A118" t="s">
        <v>309</v>
      </c>
      <c r="B118" t="s">
        <v>17</v>
      </c>
      <c r="C118" s="5">
        <v>46294</v>
      </c>
      <c r="D118" t="s">
        <v>18</v>
      </c>
      <c r="E118" t="s">
        <v>35</v>
      </c>
      <c r="F118" t="s">
        <v>20</v>
      </c>
      <c r="G118" t="s">
        <v>20</v>
      </c>
      <c r="H118" t="s">
        <v>21</v>
      </c>
      <c r="I118" t="s">
        <v>71</v>
      </c>
      <c r="J118" t="s">
        <v>288</v>
      </c>
      <c r="K118" t="s">
        <v>310</v>
      </c>
    </row>
    <row r="119" spans="1:12" ht="15" customHeight="1">
      <c r="A119" t="s">
        <v>311</v>
      </c>
      <c r="B119" t="s">
        <v>17</v>
      </c>
      <c r="C119" s="5">
        <v>46294</v>
      </c>
      <c r="D119" t="s">
        <v>18</v>
      </c>
      <c r="E119" t="s">
        <v>35</v>
      </c>
      <c r="F119" t="s">
        <v>25</v>
      </c>
      <c r="G119" t="s">
        <v>20</v>
      </c>
      <c r="H119" t="s">
        <v>26</v>
      </c>
      <c r="I119" t="s">
        <v>63</v>
      </c>
      <c r="J119" t="s">
        <v>307</v>
      </c>
      <c r="K119" t="s">
        <v>312</v>
      </c>
    </row>
    <row r="120" spans="1:12" ht="15" customHeight="1">
      <c r="A120" t="s">
        <v>313</v>
      </c>
      <c r="B120" t="s">
        <v>17</v>
      </c>
      <c r="C120" s="5">
        <v>46294</v>
      </c>
      <c r="D120" t="s">
        <v>18</v>
      </c>
      <c r="E120" t="s">
        <v>35</v>
      </c>
      <c r="F120" t="s">
        <v>25</v>
      </c>
      <c r="G120" t="s">
        <v>20</v>
      </c>
      <c r="H120" t="s">
        <v>26</v>
      </c>
      <c r="I120" t="s">
        <v>63</v>
      </c>
      <c r="J120" t="s">
        <v>307</v>
      </c>
      <c r="K120" t="s">
        <v>314</v>
      </c>
    </row>
    <row r="121" spans="1:12" ht="15" customHeight="1">
      <c r="A121" t="s">
        <v>315</v>
      </c>
      <c r="B121" t="s">
        <v>17</v>
      </c>
      <c r="C121" s="5">
        <v>46294</v>
      </c>
      <c r="D121" t="s">
        <v>18</v>
      </c>
      <c r="E121" t="s">
        <v>35</v>
      </c>
      <c r="F121" t="s">
        <v>25</v>
      </c>
      <c r="G121" t="s">
        <v>20</v>
      </c>
      <c r="H121" t="s">
        <v>26</v>
      </c>
      <c r="I121" t="s">
        <v>63</v>
      </c>
      <c r="J121" t="s">
        <v>307</v>
      </c>
      <c r="K121" t="s">
        <v>316</v>
      </c>
    </row>
    <row r="122" spans="1:12" ht="15" customHeight="1">
      <c r="A122" t="s">
        <v>317</v>
      </c>
      <c r="B122" t="s">
        <v>17</v>
      </c>
      <c r="C122" s="5">
        <v>46294</v>
      </c>
      <c r="D122" t="s">
        <v>18</v>
      </c>
      <c r="E122" t="s">
        <v>35</v>
      </c>
      <c r="F122" t="s">
        <v>20</v>
      </c>
      <c r="G122" t="s">
        <v>20</v>
      </c>
      <c r="H122" t="s">
        <v>21</v>
      </c>
      <c r="I122" t="s">
        <v>71</v>
      </c>
      <c r="J122" t="s">
        <v>288</v>
      </c>
      <c r="K122" t="s">
        <v>318</v>
      </c>
    </row>
    <row r="123" spans="1:12" ht="15" customHeight="1">
      <c r="A123" t="s">
        <v>319</v>
      </c>
      <c r="B123" t="s">
        <v>17</v>
      </c>
      <c r="C123" s="5">
        <v>46294</v>
      </c>
      <c r="D123" t="s">
        <v>18</v>
      </c>
      <c r="E123" t="s">
        <v>35</v>
      </c>
      <c r="F123" t="s">
        <v>25</v>
      </c>
      <c r="G123" t="s">
        <v>20</v>
      </c>
      <c r="H123" t="s">
        <v>26</v>
      </c>
      <c r="I123" t="s">
        <v>63</v>
      </c>
      <c r="J123" t="s">
        <v>320</v>
      </c>
      <c r="K123" t="s">
        <v>321</v>
      </c>
    </row>
    <row r="124" spans="1:12" ht="15" customHeight="1">
      <c r="A124" s="7" t="s">
        <v>322</v>
      </c>
      <c r="B124" s="7" t="s">
        <v>17</v>
      </c>
      <c r="C124" s="8">
        <v>46294</v>
      </c>
      <c r="D124" s="7" t="s">
        <v>18</v>
      </c>
      <c r="E124" s="7" t="s">
        <v>35</v>
      </c>
      <c r="F124" s="7" t="s">
        <v>20</v>
      </c>
      <c r="G124" s="7" t="s">
        <v>20</v>
      </c>
      <c r="H124" s="7" t="s">
        <v>26</v>
      </c>
      <c r="I124" s="7" t="s">
        <v>71</v>
      </c>
      <c r="J124" s="7" t="s">
        <v>288</v>
      </c>
      <c r="K124" s="7" t="s">
        <v>323</v>
      </c>
      <c r="L124" s="7"/>
    </row>
    <row r="125" spans="1:12" ht="15" customHeight="1">
      <c r="A125" t="s">
        <v>324</v>
      </c>
      <c r="B125" t="s">
        <v>325</v>
      </c>
      <c r="C125" s="5">
        <v>46279</v>
      </c>
      <c r="D125" t="s">
        <v>24</v>
      </c>
      <c r="E125" t="s">
        <v>70</v>
      </c>
      <c r="F125" t="s">
        <v>20</v>
      </c>
      <c r="G125" t="s">
        <v>20</v>
      </c>
      <c r="H125" t="s">
        <v>21</v>
      </c>
      <c r="I125" t="s">
        <v>71</v>
      </c>
      <c r="J125" t="s">
        <v>326</v>
      </c>
      <c r="K125" t="s">
        <v>327</v>
      </c>
    </row>
    <row r="126" spans="1:12" ht="15" customHeight="1">
      <c r="A126" t="s">
        <v>328</v>
      </c>
      <c r="B126" t="s">
        <v>325</v>
      </c>
      <c r="C126" s="5">
        <v>46279</v>
      </c>
      <c r="D126" t="s">
        <v>24</v>
      </c>
      <c r="E126" t="s">
        <v>70</v>
      </c>
      <c r="F126" t="s">
        <v>20</v>
      </c>
      <c r="G126" t="s">
        <v>20</v>
      </c>
      <c r="H126" t="s">
        <v>21</v>
      </c>
      <c r="I126" t="s">
        <v>71</v>
      </c>
      <c r="J126" t="s">
        <v>326</v>
      </c>
      <c r="K126" t="s">
        <v>329</v>
      </c>
    </row>
    <row r="127" spans="1:12" ht="15" customHeight="1">
      <c r="A127" t="s">
        <v>330</v>
      </c>
      <c r="B127" t="s">
        <v>325</v>
      </c>
      <c r="C127" s="5">
        <v>46280</v>
      </c>
      <c r="D127" t="s">
        <v>24</v>
      </c>
      <c r="E127" t="s">
        <v>70</v>
      </c>
      <c r="F127" t="s">
        <v>20</v>
      </c>
      <c r="G127" t="s">
        <v>20</v>
      </c>
      <c r="H127" t="s">
        <v>21</v>
      </c>
      <c r="I127" t="s">
        <v>71</v>
      </c>
      <c r="J127" t="s">
        <v>326</v>
      </c>
      <c r="K127" t="s">
        <v>331</v>
      </c>
    </row>
    <row r="128" spans="1:12" ht="15" customHeight="1">
      <c r="A128" t="s">
        <v>332</v>
      </c>
      <c r="B128" t="s">
        <v>325</v>
      </c>
      <c r="C128" s="5">
        <v>46285</v>
      </c>
      <c r="D128" t="s">
        <v>24</v>
      </c>
      <c r="E128" t="s">
        <v>70</v>
      </c>
      <c r="F128" t="s">
        <v>25</v>
      </c>
      <c r="G128" t="s">
        <v>20</v>
      </c>
      <c r="H128" t="s">
        <v>21</v>
      </c>
      <c r="I128" t="s">
        <v>71</v>
      </c>
      <c r="J128" t="s">
        <v>333</v>
      </c>
      <c r="K128" t="s">
        <v>334</v>
      </c>
      <c r="L128" t="s">
        <v>20</v>
      </c>
    </row>
    <row r="129" spans="1:12" ht="15" customHeight="1">
      <c r="A129" t="s">
        <v>335</v>
      </c>
      <c r="B129" t="s">
        <v>325</v>
      </c>
      <c r="C129" s="5">
        <v>46285</v>
      </c>
      <c r="D129" t="s">
        <v>24</v>
      </c>
      <c r="E129" t="s">
        <v>70</v>
      </c>
      <c r="F129" t="s">
        <v>25</v>
      </c>
      <c r="G129" t="s">
        <v>20</v>
      </c>
      <c r="H129" t="s">
        <v>26</v>
      </c>
      <c r="I129" t="s">
        <v>63</v>
      </c>
      <c r="J129" t="s">
        <v>105</v>
      </c>
      <c r="K129" t="s">
        <v>336</v>
      </c>
    </row>
    <row r="130" spans="1:12" ht="15" customHeight="1">
      <c r="A130" t="s">
        <v>337</v>
      </c>
      <c r="B130" t="s">
        <v>325</v>
      </c>
      <c r="C130" s="5">
        <v>46285</v>
      </c>
      <c r="D130" t="s">
        <v>24</v>
      </c>
      <c r="E130" t="s">
        <v>70</v>
      </c>
      <c r="F130" t="s">
        <v>20</v>
      </c>
      <c r="G130" t="s">
        <v>20</v>
      </c>
      <c r="H130" t="s">
        <v>21</v>
      </c>
      <c r="I130" t="s">
        <v>71</v>
      </c>
      <c r="J130" t="s">
        <v>338</v>
      </c>
      <c r="K130" t="s">
        <v>339</v>
      </c>
      <c r="L130" t="s">
        <v>20</v>
      </c>
    </row>
    <row r="131" spans="1:12" ht="15" customHeight="1">
      <c r="A131" t="s">
        <v>340</v>
      </c>
      <c r="B131" t="s">
        <v>325</v>
      </c>
      <c r="C131" s="5">
        <v>46285</v>
      </c>
      <c r="D131" t="s">
        <v>24</v>
      </c>
      <c r="E131" t="s">
        <v>70</v>
      </c>
      <c r="F131" t="s">
        <v>20</v>
      </c>
      <c r="G131" t="s">
        <v>20</v>
      </c>
      <c r="H131" t="s">
        <v>21</v>
      </c>
      <c r="I131" t="s">
        <v>22</v>
      </c>
      <c r="K131" t="s">
        <v>341</v>
      </c>
    </row>
    <row r="132" spans="1:12" ht="15" customHeight="1">
      <c r="A132" t="s">
        <v>342</v>
      </c>
      <c r="B132" t="s">
        <v>325</v>
      </c>
      <c r="C132" s="5">
        <v>46285</v>
      </c>
      <c r="D132" t="s">
        <v>24</v>
      </c>
      <c r="E132" t="s">
        <v>70</v>
      </c>
      <c r="F132" t="s">
        <v>25</v>
      </c>
      <c r="G132" t="s">
        <v>20</v>
      </c>
      <c r="H132" t="s">
        <v>21</v>
      </c>
      <c r="I132" t="s">
        <v>63</v>
      </c>
      <c r="J132" t="s">
        <v>343</v>
      </c>
      <c r="K132" t="s">
        <v>344</v>
      </c>
      <c r="L132" t="s">
        <v>20</v>
      </c>
    </row>
    <row r="133" spans="1:12" ht="15" customHeight="1">
      <c r="A133" t="s">
        <v>345</v>
      </c>
      <c r="B133" t="s">
        <v>325</v>
      </c>
      <c r="C133" s="5">
        <v>46286</v>
      </c>
      <c r="D133" t="s">
        <v>24</v>
      </c>
      <c r="E133" t="s">
        <v>70</v>
      </c>
      <c r="F133" t="s">
        <v>25</v>
      </c>
      <c r="G133" t="s">
        <v>20</v>
      </c>
      <c r="H133" t="s">
        <v>21</v>
      </c>
      <c r="I133" t="s">
        <v>71</v>
      </c>
      <c r="J133" t="s">
        <v>346</v>
      </c>
      <c r="K133" t="s">
        <v>347</v>
      </c>
      <c r="L133" t="s">
        <v>20</v>
      </c>
    </row>
    <row r="134" spans="1:12" ht="15" customHeight="1">
      <c r="A134" t="s">
        <v>348</v>
      </c>
      <c r="B134" t="s">
        <v>325</v>
      </c>
      <c r="C134" s="5">
        <v>46287</v>
      </c>
      <c r="D134" t="s">
        <v>24</v>
      </c>
      <c r="E134" t="s">
        <v>70</v>
      </c>
      <c r="F134" t="s">
        <v>20</v>
      </c>
      <c r="G134" t="s">
        <v>20</v>
      </c>
      <c r="H134" t="s">
        <v>21</v>
      </c>
      <c r="I134" t="s">
        <v>71</v>
      </c>
      <c r="J134" t="s">
        <v>346</v>
      </c>
      <c r="K134" t="s">
        <v>349</v>
      </c>
    </row>
    <row r="135" spans="1:12" ht="15" customHeight="1">
      <c r="A135" t="s">
        <v>350</v>
      </c>
      <c r="B135" t="s">
        <v>325</v>
      </c>
      <c r="C135" s="5">
        <v>46288</v>
      </c>
      <c r="D135" t="s">
        <v>24</v>
      </c>
      <c r="E135" t="s">
        <v>70</v>
      </c>
      <c r="F135" t="s">
        <v>20</v>
      </c>
      <c r="G135" t="s">
        <v>20</v>
      </c>
      <c r="H135" t="s">
        <v>21</v>
      </c>
      <c r="I135" t="s">
        <v>22</v>
      </c>
      <c r="K135" t="s">
        <v>351</v>
      </c>
    </row>
    <row r="136" spans="1:12" ht="15" customHeight="1">
      <c r="A136" t="s">
        <v>352</v>
      </c>
      <c r="B136" t="s">
        <v>325</v>
      </c>
      <c r="C136" s="5">
        <v>46289</v>
      </c>
      <c r="D136" t="s">
        <v>24</v>
      </c>
      <c r="E136" t="s">
        <v>70</v>
      </c>
      <c r="F136" t="s">
        <v>20</v>
      </c>
      <c r="G136" t="s">
        <v>20</v>
      </c>
      <c r="H136" t="s">
        <v>21</v>
      </c>
      <c r="I136" t="s">
        <v>71</v>
      </c>
      <c r="J136" t="s">
        <v>346</v>
      </c>
      <c r="K136" t="s">
        <v>353</v>
      </c>
    </row>
    <row r="137" spans="1:12" ht="15" customHeight="1">
      <c r="A137" t="s">
        <v>354</v>
      </c>
      <c r="B137" t="s">
        <v>325</v>
      </c>
      <c r="C137" s="5">
        <v>46290</v>
      </c>
      <c r="D137" t="s">
        <v>24</v>
      </c>
      <c r="E137" t="s">
        <v>70</v>
      </c>
      <c r="F137" t="s">
        <v>20</v>
      </c>
      <c r="G137" t="s">
        <v>20</v>
      </c>
      <c r="H137" t="s">
        <v>21</v>
      </c>
      <c r="I137" t="s">
        <v>71</v>
      </c>
      <c r="J137" t="s">
        <v>346</v>
      </c>
      <c r="K137" t="s">
        <v>355</v>
      </c>
    </row>
    <row r="138" spans="1:12" ht="15" customHeight="1">
      <c r="A138" t="s">
        <v>356</v>
      </c>
      <c r="B138" t="s">
        <v>325</v>
      </c>
      <c r="C138" s="5">
        <v>46290</v>
      </c>
      <c r="D138" t="s">
        <v>24</v>
      </c>
      <c r="E138" t="s">
        <v>70</v>
      </c>
      <c r="F138" t="s">
        <v>20</v>
      </c>
      <c r="G138" t="s">
        <v>20</v>
      </c>
      <c r="H138" t="s">
        <v>21</v>
      </c>
      <c r="I138" t="s">
        <v>71</v>
      </c>
      <c r="J138" t="s">
        <v>346</v>
      </c>
      <c r="K138" t="s">
        <v>357</v>
      </c>
    </row>
    <row r="139" spans="1:12" ht="15" customHeight="1">
      <c r="A139" t="s">
        <v>358</v>
      </c>
      <c r="B139" t="s">
        <v>325</v>
      </c>
      <c r="C139" s="5">
        <v>46290</v>
      </c>
      <c r="D139" t="s">
        <v>24</v>
      </c>
      <c r="E139" t="s">
        <v>70</v>
      </c>
      <c r="F139" t="s">
        <v>20</v>
      </c>
      <c r="G139" t="s">
        <v>20</v>
      </c>
      <c r="H139" t="s">
        <v>21</v>
      </c>
      <c r="I139" t="s">
        <v>71</v>
      </c>
      <c r="J139" t="s">
        <v>346</v>
      </c>
      <c r="K139" t="s">
        <v>359</v>
      </c>
    </row>
    <row r="140" spans="1:12" ht="15" customHeight="1">
      <c r="A140" t="s">
        <v>360</v>
      </c>
      <c r="B140" t="s">
        <v>325</v>
      </c>
      <c r="C140" s="5">
        <v>46291</v>
      </c>
      <c r="D140" t="s">
        <v>24</v>
      </c>
      <c r="E140" t="s">
        <v>70</v>
      </c>
      <c r="F140" t="s">
        <v>20</v>
      </c>
      <c r="G140" t="s">
        <v>20</v>
      </c>
      <c r="H140" t="s">
        <v>21</v>
      </c>
      <c r="I140" t="s">
        <v>22</v>
      </c>
      <c r="K140" t="s">
        <v>361</v>
      </c>
    </row>
    <row r="141" spans="1:12" ht="15" customHeight="1">
      <c r="A141" t="s">
        <v>362</v>
      </c>
      <c r="B141" t="s">
        <v>325</v>
      </c>
      <c r="C141" s="5">
        <v>46291</v>
      </c>
      <c r="D141" t="s">
        <v>24</v>
      </c>
      <c r="E141" t="s">
        <v>70</v>
      </c>
      <c r="F141" t="s">
        <v>20</v>
      </c>
      <c r="G141" t="s">
        <v>20</v>
      </c>
      <c r="H141" t="s">
        <v>21</v>
      </c>
      <c r="I141" t="s">
        <v>22</v>
      </c>
      <c r="K141" t="s">
        <v>363</v>
      </c>
    </row>
    <row r="142" spans="1:12" ht="15" customHeight="1">
      <c r="A142" t="s">
        <v>364</v>
      </c>
      <c r="B142" t="s">
        <v>325</v>
      </c>
      <c r="C142" s="5">
        <v>46288</v>
      </c>
      <c r="D142" t="s">
        <v>18</v>
      </c>
      <c r="E142" t="s">
        <v>70</v>
      </c>
      <c r="F142" t="s">
        <v>20</v>
      </c>
      <c r="G142" t="s">
        <v>20</v>
      </c>
      <c r="H142" t="s">
        <v>26</v>
      </c>
      <c r="I142" t="s">
        <v>63</v>
      </c>
      <c r="J142" t="s">
        <v>365</v>
      </c>
      <c r="K142" t="s">
        <v>366</v>
      </c>
    </row>
    <row r="143" spans="1:12" ht="15" customHeight="1">
      <c r="A143" t="s">
        <v>367</v>
      </c>
      <c r="B143" t="s">
        <v>325</v>
      </c>
      <c r="C143" s="5">
        <v>46288</v>
      </c>
      <c r="D143" t="s">
        <v>99</v>
      </c>
      <c r="E143" t="s">
        <v>70</v>
      </c>
      <c r="F143" t="s">
        <v>20</v>
      </c>
      <c r="G143" t="s">
        <v>20</v>
      </c>
      <c r="H143" t="s">
        <v>21</v>
      </c>
      <c r="I143" t="s">
        <v>71</v>
      </c>
      <c r="J143" t="s">
        <v>140</v>
      </c>
      <c r="K143" t="s">
        <v>368</v>
      </c>
    </row>
    <row r="144" spans="1:12" ht="15" customHeight="1">
      <c r="A144" t="s">
        <v>369</v>
      </c>
      <c r="B144" t="s">
        <v>325</v>
      </c>
      <c r="C144" s="5">
        <v>46295</v>
      </c>
      <c r="D144" t="s">
        <v>18</v>
      </c>
      <c r="E144" t="s">
        <v>70</v>
      </c>
      <c r="F144" t="s">
        <v>20</v>
      </c>
      <c r="G144" t="s">
        <v>20</v>
      </c>
      <c r="H144" t="s">
        <v>21</v>
      </c>
      <c r="I144" t="s">
        <v>71</v>
      </c>
      <c r="J144" t="s">
        <v>370</v>
      </c>
      <c r="K144" t="s">
        <v>371</v>
      </c>
    </row>
    <row r="145" spans="1:12" ht="15" customHeight="1">
      <c r="A145" t="s">
        <v>372</v>
      </c>
      <c r="B145" t="s">
        <v>325</v>
      </c>
      <c r="C145" s="5">
        <v>46295</v>
      </c>
      <c r="D145" t="s">
        <v>18</v>
      </c>
      <c r="E145" t="s">
        <v>70</v>
      </c>
      <c r="F145" t="s">
        <v>20</v>
      </c>
      <c r="G145" t="s">
        <v>20</v>
      </c>
      <c r="H145" t="s">
        <v>21</v>
      </c>
      <c r="I145" t="s">
        <v>22</v>
      </c>
      <c r="K145" t="s">
        <v>373</v>
      </c>
    </row>
    <row r="146" spans="1:12" ht="15" customHeight="1">
      <c r="A146" t="s">
        <v>374</v>
      </c>
      <c r="B146" t="s">
        <v>325</v>
      </c>
      <c r="C146" s="5">
        <v>46295</v>
      </c>
      <c r="D146" t="s">
        <v>18</v>
      </c>
      <c r="E146" t="s">
        <v>70</v>
      </c>
      <c r="F146" t="s">
        <v>20</v>
      </c>
      <c r="G146" t="s">
        <v>20</v>
      </c>
      <c r="H146" t="s">
        <v>21</v>
      </c>
      <c r="I146" t="s">
        <v>22</v>
      </c>
      <c r="K146" t="s">
        <v>375</v>
      </c>
    </row>
    <row r="147" spans="1:12" ht="15" customHeight="1">
      <c r="A147" t="s">
        <v>376</v>
      </c>
      <c r="B147" t="s">
        <v>325</v>
      </c>
      <c r="C147" s="5">
        <v>46295</v>
      </c>
      <c r="D147" t="s">
        <v>18</v>
      </c>
      <c r="E147" t="s">
        <v>70</v>
      </c>
      <c r="F147" t="s">
        <v>25</v>
      </c>
      <c r="G147" t="s">
        <v>20</v>
      </c>
      <c r="H147" t="s">
        <v>21</v>
      </c>
      <c r="I147" t="s">
        <v>22</v>
      </c>
      <c r="J147" t="s">
        <v>377</v>
      </c>
      <c r="K147" t="s">
        <v>378</v>
      </c>
      <c r="L147" t="s">
        <v>20</v>
      </c>
    </row>
    <row r="148" spans="1:12" ht="15" customHeight="1">
      <c r="A148" t="s">
        <v>379</v>
      </c>
      <c r="B148" t="s">
        <v>325</v>
      </c>
      <c r="C148" s="5">
        <v>46295</v>
      </c>
      <c r="D148" t="s">
        <v>18</v>
      </c>
      <c r="E148" t="s">
        <v>70</v>
      </c>
      <c r="F148" t="s">
        <v>20</v>
      </c>
      <c r="G148" t="s">
        <v>20</v>
      </c>
      <c r="H148" t="s">
        <v>26</v>
      </c>
      <c r="I148" t="s">
        <v>63</v>
      </c>
      <c r="J148" t="s">
        <v>380</v>
      </c>
      <c r="K148" t="s">
        <v>381</v>
      </c>
    </row>
    <row r="149" spans="1:12" ht="15" customHeight="1">
      <c r="A149" t="s">
        <v>382</v>
      </c>
      <c r="B149" t="s">
        <v>325</v>
      </c>
      <c r="C149" s="5">
        <v>46295</v>
      </c>
      <c r="D149" t="s">
        <v>18</v>
      </c>
      <c r="E149" t="s">
        <v>70</v>
      </c>
      <c r="F149" t="s">
        <v>20</v>
      </c>
      <c r="G149" t="s">
        <v>20</v>
      </c>
      <c r="H149" t="s">
        <v>21</v>
      </c>
      <c r="I149" t="s">
        <v>71</v>
      </c>
      <c r="J149" t="s">
        <v>140</v>
      </c>
      <c r="K149" t="s">
        <v>383</v>
      </c>
    </row>
    <row r="150" spans="1:12" ht="15" customHeight="1">
      <c r="A150" t="s">
        <v>384</v>
      </c>
      <c r="B150" t="s">
        <v>325</v>
      </c>
      <c r="C150" s="5">
        <v>46295</v>
      </c>
      <c r="D150" t="s">
        <v>18</v>
      </c>
      <c r="E150" t="s">
        <v>70</v>
      </c>
      <c r="F150" t="s">
        <v>20</v>
      </c>
      <c r="G150" t="s">
        <v>20</v>
      </c>
      <c r="H150" t="s">
        <v>21</v>
      </c>
      <c r="I150" t="s">
        <v>22</v>
      </c>
      <c r="K150" t="s">
        <v>385</v>
      </c>
    </row>
    <row r="151" spans="1:12" ht="15" customHeight="1">
      <c r="A151" t="s">
        <v>386</v>
      </c>
      <c r="B151" t="s">
        <v>325</v>
      </c>
      <c r="C151" s="5">
        <v>46295</v>
      </c>
      <c r="D151" t="s">
        <v>18</v>
      </c>
      <c r="E151" t="s">
        <v>70</v>
      </c>
      <c r="F151" t="s">
        <v>20</v>
      </c>
      <c r="G151" t="s">
        <v>20</v>
      </c>
      <c r="H151" t="s">
        <v>21</v>
      </c>
      <c r="I151" t="s">
        <v>22</v>
      </c>
      <c r="K151" t="s">
        <v>387</v>
      </c>
    </row>
    <row r="152" spans="1:12" ht="15" customHeight="1">
      <c r="A152" t="s">
        <v>388</v>
      </c>
      <c r="B152" t="s">
        <v>325</v>
      </c>
      <c r="C152" s="5">
        <v>46295</v>
      </c>
      <c r="D152" t="s">
        <v>18</v>
      </c>
      <c r="E152" t="s">
        <v>70</v>
      </c>
      <c r="F152" t="s">
        <v>20</v>
      </c>
      <c r="G152" t="s">
        <v>20</v>
      </c>
      <c r="H152" t="s">
        <v>21</v>
      </c>
      <c r="I152" t="s">
        <v>22</v>
      </c>
      <c r="K152" t="s">
        <v>389</v>
      </c>
    </row>
    <row r="153" spans="1:12" ht="15" customHeight="1">
      <c r="A153" t="s">
        <v>390</v>
      </c>
      <c r="B153" t="s">
        <v>325</v>
      </c>
      <c r="C153" s="5">
        <v>46295</v>
      </c>
      <c r="D153" t="s">
        <v>18</v>
      </c>
      <c r="E153" t="s">
        <v>70</v>
      </c>
      <c r="F153" t="s">
        <v>25</v>
      </c>
      <c r="G153" t="s">
        <v>20</v>
      </c>
      <c r="H153" t="s">
        <v>26</v>
      </c>
      <c r="I153" t="s">
        <v>63</v>
      </c>
      <c r="J153" t="s">
        <v>380</v>
      </c>
      <c r="K153" t="s">
        <v>391</v>
      </c>
    </row>
    <row r="154" spans="1:12" ht="15" customHeight="1">
      <c r="A154" t="s">
        <v>392</v>
      </c>
      <c r="B154" t="s">
        <v>325</v>
      </c>
      <c r="C154" s="5">
        <v>46295</v>
      </c>
      <c r="D154" t="s">
        <v>18</v>
      </c>
      <c r="E154" t="s">
        <v>70</v>
      </c>
      <c r="F154" t="s">
        <v>25</v>
      </c>
      <c r="G154" t="s">
        <v>20</v>
      </c>
      <c r="H154" t="s">
        <v>26</v>
      </c>
      <c r="I154" t="s">
        <v>63</v>
      </c>
      <c r="J154" t="s">
        <v>380</v>
      </c>
      <c r="K154" t="s">
        <v>393</v>
      </c>
    </row>
    <row r="155" spans="1:12" ht="15" customHeight="1">
      <c r="A155" t="s">
        <v>394</v>
      </c>
      <c r="B155" t="s">
        <v>325</v>
      </c>
      <c r="C155" s="5">
        <v>46295</v>
      </c>
      <c r="D155" t="s">
        <v>99</v>
      </c>
      <c r="E155" t="s">
        <v>70</v>
      </c>
      <c r="F155" t="s">
        <v>20</v>
      </c>
      <c r="G155" t="s">
        <v>20</v>
      </c>
      <c r="H155" t="s">
        <v>21</v>
      </c>
      <c r="I155" t="s">
        <v>71</v>
      </c>
      <c r="J155" t="s">
        <v>395</v>
      </c>
      <c r="K155" t="s">
        <v>396</v>
      </c>
    </row>
    <row r="156" spans="1:12" ht="15" customHeight="1">
      <c r="A156" t="s">
        <v>397</v>
      </c>
      <c r="B156" t="s">
        <v>325</v>
      </c>
      <c r="C156" s="5">
        <v>46295</v>
      </c>
      <c r="D156" t="s">
        <v>18</v>
      </c>
      <c r="E156" t="s">
        <v>70</v>
      </c>
      <c r="F156" t="s">
        <v>20</v>
      </c>
      <c r="G156" t="s">
        <v>20</v>
      </c>
      <c r="H156" t="s">
        <v>21</v>
      </c>
      <c r="I156" t="s">
        <v>22</v>
      </c>
      <c r="K156" t="s">
        <v>398</v>
      </c>
    </row>
    <row r="157" spans="1:12" ht="15" customHeight="1">
      <c r="A157" t="s">
        <v>399</v>
      </c>
      <c r="B157" t="s">
        <v>325</v>
      </c>
      <c r="C157" s="5">
        <v>46295</v>
      </c>
      <c r="D157" t="s">
        <v>18</v>
      </c>
      <c r="E157" t="s">
        <v>70</v>
      </c>
      <c r="F157" t="s">
        <v>20</v>
      </c>
      <c r="G157" t="s">
        <v>20</v>
      </c>
      <c r="H157" t="s">
        <v>21</v>
      </c>
      <c r="I157" t="s">
        <v>22</v>
      </c>
      <c r="K157" t="s">
        <v>400</v>
      </c>
    </row>
    <row r="158" spans="1:12" ht="15" customHeight="1">
      <c r="A158" t="s">
        <v>401</v>
      </c>
      <c r="B158" t="s">
        <v>325</v>
      </c>
      <c r="C158" s="5">
        <v>46295</v>
      </c>
      <c r="D158" t="s">
        <v>18</v>
      </c>
      <c r="E158" t="s">
        <v>70</v>
      </c>
      <c r="F158" t="s">
        <v>20</v>
      </c>
      <c r="G158" t="s">
        <v>20</v>
      </c>
      <c r="H158" t="s">
        <v>21</v>
      </c>
      <c r="I158" t="s">
        <v>22</v>
      </c>
      <c r="K158" t="s">
        <v>402</v>
      </c>
    </row>
    <row r="159" spans="1:12" ht="15" customHeight="1">
      <c r="A159" t="s">
        <v>403</v>
      </c>
      <c r="B159" t="s">
        <v>325</v>
      </c>
      <c r="C159" s="5">
        <v>46295</v>
      </c>
      <c r="D159" t="s">
        <v>18</v>
      </c>
      <c r="E159" t="s">
        <v>70</v>
      </c>
      <c r="F159" t="s">
        <v>20</v>
      </c>
      <c r="G159" t="s">
        <v>20</v>
      </c>
      <c r="H159" t="s">
        <v>21</v>
      </c>
      <c r="I159" t="s">
        <v>22</v>
      </c>
      <c r="K159" t="s">
        <v>404</v>
      </c>
    </row>
    <row r="160" spans="1:12" ht="15" customHeight="1">
      <c r="A160" t="s">
        <v>405</v>
      </c>
      <c r="B160" t="s">
        <v>325</v>
      </c>
      <c r="C160" s="5">
        <v>46295</v>
      </c>
      <c r="D160" t="s">
        <v>18</v>
      </c>
      <c r="E160" t="s">
        <v>70</v>
      </c>
      <c r="F160" t="s">
        <v>25</v>
      </c>
      <c r="G160" t="s">
        <v>20</v>
      </c>
      <c r="H160" t="s">
        <v>26</v>
      </c>
      <c r="I160" t="s">
        <v>63</v>
      </c>
      <c r="J160" t="s">
        <v>380</v>
      </c>
      <c r="K160" t="s">
        <v>406</v>
      </c>
    </row>
    <row r="161" spans="1:12" ht="15" customHeight="1">
      <c r="A161" t="s">
        <v>407</v>
      </c>
      <c r="B161" t="s">
        <v>325</v>
      </c>
      <c r="C161" s="5">
        <v>46295</v>
      </c>
      <c r="D161" t="s">
        <v>18</v>
      </c>
      <c r="E161" t="s">
        <v>70</v>
      </c>
      <c r="F161" t="s">
        <v>20</v>
      </c>
      <c r="G161" t="s">
        <v>20</v>
      </c>
      <c r="H161" t="s">
        <v>21</v>
      </c>
      <c r="I161" t="s">
        <v>71</v>
      </c>
      <c r="J161" t="s">
        <v>153</v>
      </c>
      <c r="K161" t="s">
        <v>408</v>
      </c>
    </row>
    <row r="162" spans="1:12" ht="15" customHeight="1">
      <c r="A162" t="s">
        <v>409</v>
      </c>
      <c r="B162" t="s">
        <v>325</v>
      </c>
      <c r="C162" s="5">
        <v>46295</v>
      </c>
      <c r="D162" t="s">
        <v>99</v>
      </c>
      <c r="E162" t="s">
        <v>70</v>
      </c>
      <c r="F162" t="s">
        <v>20</v>
      </c>
      <c r="G162" t="s">
        <v>20</v>
      </c>
      <c r="H162" t="s">
        <v>21</v>
      </c>
      <c r="I162" t="s">
        <v>71</v>
      </c>
      <c r="J162" t="s">
        <v>153</v>
      </c>
      <c r="K162" t="s">
        <v>410</v>
      </c>
    </row>
    <row r="163" spans="1:12" ht="15" customHeight="1">
      <c r="A163" t="s">
        <v>411</v>
      </c>
      <c r="B163" t="s">
        <v>325</v>
      </c>
      <c r="C163" s="5">
        <v>46295</v>
      </c>
      <c r="D163" t="s">
        <v>99</v>
      </c>
      <c r="E163" t="s">
        <v>70</v>
      </c>
      <c r="F163" t="s">
        <v>20</v>
      </c>
      <c r="G163" t="s">
        <v>20</v>
      </c>
      <c r="H163" t="s">
        <v>21</v>
      </c>
      <c r="I163" t="s">
        <v>71</v>
      </c>
      <c r="J163" t="s">
        <v>395</v>
      </c>
      <c r="K163" t="s">
        <v>412</v>
      </c>
    </row>
    <row r="164" spans="1:12" ht="15" customHeight="1">
      <c r="A164" t="s">
        <v>413</v>
      </c>
      <c r="B164" t="s">
        <v>325</v>
      </c>
      <c r="C164" s="5">
        <v>46295</v>
      </c>
      <c r="D164" t="s">
        <v>18</v>
      </c>
      <c r="E164" t="s">
        <v>70</v>
      </c>
      <c r="F164" t="s">
        <v>20</v>
      </c>
      <c r="G164" t="s">
        <v>20</v>
      </c>
      <c r="H164" t="s">
        <v>21</v>
      </c>
      <c r="I164" t="s">
        <v>22</v>
      </c>
      <c r="K164" t="s">
        <v>414</v>
      </c>
    </row>
    <row r="165" spans="1:12" ht="15" customHeight="1">
      <c r="A165" t="s">
        <v>415</v>
      </c>
      <c r="B165" t="s">
        <v>325</v>
      </c>
      <c r="C165" s="5">
        <v>46295</v>
      </c>
      <c r="D165" t="s">
        <v>18</v>
      </c>
      <c r="E165" t="s">
        <v>70</v>
      </c>
      <c r="F165" t="s">
        <v>20</v>
      </c>
      <c r="G165" t="s">
        <v>20</v>
      </c>
      <c r="H165" t="s">
        <v>21</v>
      </c>
      <c r="I165" t="s">
        <v>22</v>
      </c>
      <c r="K165" t="s">
        <v>416</v>
      </c>
    </row>
    <row r="166" spans="1:12" ht="15" customHeight="1">
      <c r="A166" t="s">
        <v>417</v>
      </c>
      <c r="B166" t="s">
        <v>325</v>
      </c>
      <c r="C166" s="5">
        <v>46295</v>
      </c>
      <c r="D166" t="s">
        <v>18</v>
      </c>
      <c r="E166" t="s">
        <v>70</v>
      </c>
      <c r="F166" t="s">
        <v>20</v>
      </c>
      <c r="G166" t="s">
        <v>20</v>
      </c>
      <c r="H166" t="s">
        <v>21</v>
      </c>
      <c r="I166" t="s">
        <v>22</v>
      </c>
      <c r="K166" t="s">
        <v>418</v>
      </c>
    </row>
    <row r="167" spans="1:12" ht="15" customHeight="1">
      <c r="A167" t="s">
        <v>419</v>
      </c>
      <c r="B167" t="s">
        <v>325</v>
      </c>
      <c r="C167" s="5">
        <v>46295</v>
      </c>
      <c r="D167" t="s">
        <v>18</v>
      </c>
      <c r="E167" t="s">
        <v>70</v>
      </c>
      <c r="F167" t="s">
        <v>20</v>
      </c>
      <c r="G167" t="s">
        <v>20</v>
      </c>
      <c r="H167" t="s">
        <v>26</v>
      </c>
      <c r="I167" t="s">
        <v>71</v>
      </c>
      <c r="J167" t="s">
        <v>420</v>
      </c>
      <c r="K167" t="s">
        <v>421</v>
      </c>
    </row>
    <row r="168" spans="1:12" ht="15" customHeight="1">
      <c r="A168" t="s">
        <v>422</v>
      </c>
      <c r="B168" t="s">
        <v>325</v>
      </c>
      <c r="C168" s="5">
        <v>46295</v>
      </c>
      <c r="D168" t="s">
        <v>18</v>
      </c>
      <c r="E168" t="s">
        <v>70</v>
      </c>
      <c r="F168" t="s">
        <v>20</v>
      </c>
      <c r="G168" t="s">
        <v>20</v>
      </c>
      <c r="H168" t="s">
        <v>21</v>
      </c>
      <c r="I168" t="s">
        <v>22</v>
      </c>
      <c r="K168" t="s">
        <v>423</v>
      </c>
    </row>
    <row r="169" spans="1:12" ht="15" customHeight="1">
      <c r="A169" t="s">
        <v>424</v>
      </c>
      <c r="B169" t="s">
        <v>325</v>
      </c>
      <c r="C169" s="5">
        <v>46295</v>
      </c>
      <c r="D169" t="s">
        <v>18</v>
      </c>
      <c r="E169" t="s">
        <v>70</v>
      </c>
      <c r="F169" t="s">
        <v>20</v>
      </c>
      <c r="G169" t="s">
        <v>20</v>
      </c>
      <c r="H169" t="s">
        <v>21</v>
      </c>
      <c r="I169" t="s">
        <v>22</v>
      </c>
      <c r="K169" t="s">
        <v>425</v>
      </c>
    </row>
    <row r="170" spans="1:12" ht="15" customHeight="1">
      <c r="A170" t="s">
        <v>426</v>
      </c>
      <c r="B170" t="s">
        <v>325</v>
      </c>
      <c r="C170" s="5">
        <v>46295</v>
      </c>
      <c r="D170" t="s">
        <v>18</v>
      </c>
      <c r="E170" t="s">
        <v>70</v>
      </c>
      <c r="F170" t="s">
        <v>20</v>
      </c>
      <c r="G170" t="s">
        <v>20</v>
      </c>
      <c r="H170" t="s">
        <v>21</v>
      </c>
      <c r="I170" t="s">
        <v>22</v>
      </c>
      <c r="K170" t="s">
        <v>427</v>
      </c>
    </row>
    <row r="171" spans="1:12" ht="15" customHeight="1">
      <c r="A171" t="s">
        <v>428</v>
      </c>
      <c r="B171" t="s">
        <v>325</v>
      </c>
      <c r="C171" s="5">
        <v>46295</v>
      </c>
      <c r="D171" t="s">
        <v>18</v>
      </c>
      <c r="E171" t="s">
        <v>70</v>
      </c>
      <c r="F171" t="s">
        <v>20</v>
      </c>
      <c r="G171" t="s">
        <v>20</v>
      </c>
      <c r="H171" t="s">
        <v>21</v>
      </c>
      <c r="I171" t="s">
        <v>22</v>
      </c>
      <c r="K171" t="s">
        <v>429</v>
      </c>
    </row>
    <row r="172" spans="1:12" ht="15" customHeight="1">
      <c r="A172" t="s">
        <v>430</v>
      </c>
      <c r="B172" t="s">
        <v>325</v>
      </c>
      <c r="C172" s="5">
        <v>46295</v>
      </c>
      <c r="D172" t="s">
        <v>18</v>
      </c>
      <c r="E172" t="s">
        <v>70</v>
      </c>
      <c r="F172" t="s">
        <v>25</v>
      </c>
      <c r="G172" t="s">
        <v>20</v>
      </c>
      <c r="H172" t="s">
        <v>21</v>
      </c>
      <c r="I172" t="s">
        <v>71</v>
      </c>
      <c r="J172" t="s">
        <v>431</v>
      </c>
      <c r="K172" t="s">
        <v>432</v>
      </c>
      <c r="L172" t="s">
        <v>20</v>
      </c>
    </row>
    <row r="173" spans="1:12" ht="15" customHeight="1">
      <c r="A173" t="s">
        <v>433</v>
      </c>
      <c r="B173" t="s">
        <v>325</v>
      </c>
      <c r="C173" s="5">
        <v>46295</v>
      </c>
      <c r="D173" t="s">
        <v>18</v>
      </c>
      <c r="E173" t="s">
        <v>70</v>
      </c>
      <c r="F173" t="s">
        <v>20</v>
      </c>
      <c r="G173" t="s">
        <v>20</v>
      </c>
      <c r="H173" t="s">
        <v>21</v>
      </c>
      <c r="I173" t="s">
        <v>71</v>
      </c>
      <c r="J173" t="s">
        <v>153</v>
      </c>
      <c r="K173" t="s">
        <v>434</v>
      </c>
    </row>
    <row r="174" spans="1:12" ht="15" customHeight="1">
      <c r="A174" t="s">
        <v>435</v>
      </c>
      <c r="B174" t="s">
        <v>325</v>
      </c>
      <c r="C174" s="5">
        <v>46295</v>
      </c>
      <c r="D174" t="s">
        <v>18</v>
      </c>
      <c r="E174" t="s">
        <v>70</v>
      </c>
      <c r="F174" t="s">
        <v>20</v>
      </c>
      <c r="G174" t="s">
        <v>20</v>
      </c>
      <c r="H174" t="s">
        <v>21</v>
      </c>
      <c r="I174" t="s">
        <v>22</v>
      </c>
      <c r="K174" t="s">
        <v>436</v>
      </c>
    </row>
    <row r="175" spans="1:12" ht="15" customHeight="1">
      <c r="A175" t="s">
        <v>437</v>
      </c>
      <c r="B175" t="s">
        <v>325</v>
      </c>
      <c r="C175" s="5">
        <v>46295</v>
      </c>
      <c r="D175" t="s">
        <v>18</v>
      </c>
      <c r="E175" t="s">
        <v>70</v>
      </c>
      <c r="F175" t="s">
        <v>25</v>
      </c>
      <c r="G175" t="s">
        <v>20</v>
      </c>
      <c r="H175" t="s">
        <v>21</v>
      </c>
      <c r="I175" t="s">
        <v>71</v>
      </c>
      <c r="J175" t="s">
        <v>438</v>
      </c>
      <c r="K175" t="s">
        <v>439</v>
      </c>
      <c r="L175" t="s">
        <v>20</v>
      </c>
    </row>
    <row r="176" spans="1:12" ht="15" customHeight="1">
      <c r="A176" t="s">
        <v>440</v>
      </c>
      <c r="B176" t="s">
        <v>325</v>
      </c>
      <c r="C176" s="5">
        <v>46295</v>
      </c>
      <c r="D176" t="s">
        <v>99</v>
      </c>
      <c r="E176" t="s">
        <v>70</v>
      </c>
      <c r="F176" t="s">
        <v>20</v>
      </c>
      <c r="G176" t="s">
        <v>20</v>
      </c>
      <c r="H176" t="s">
        <v>21</v>
      </c>
      <c r="I176" t="s">
        <v>71</v>
      </c>
      <c r="J176" t="s">
        <v>153</v>
      </c>
      <c r="K176" t="s">
        <v>441</v>
      </c>
    </row>
    <row r="177" spans="1:1" ht="15" customHeight="1">
      <c r="A177" t="s">
        <v>442</v>
      </c>
    </row>
    <row r="178" spans="1:1" ht="15" customHeight="1">
      <c r="A178" t="s">
        <v>443</v>
      </c>
    </row>
    <row r="179" spans="1:1" ht="15" customHeight="1">
      <c r="A179" t="s">
        <v>444</v>
      </c>
    </row>
    <row r="180" spans="1:1" ht="15" customHeight="1">
      <c r="A180" t="s">
        <v>445</v>
      </c>
    </row>
    <row r="181" spans="1:1" ht="15" customHeight="1">
      <c r="A181" t="s">
        <v>446</v>
      </c>
    </row>
    <row r="182" spans="1:1" ht="15" customHeight="1">
      <c r="A182" t="s">
        <v>447</v>
      </c>
    </row>
    <row r="183" spans="1:1" ht="15" customHeight="1">
      <c r="A183" t="s">
        <v>448</v>
      </c>
    </row>
    <row r="184" spans="1:1" ht="15" customHeight="1">
      <c r="A184" t="s">
        <v>449</v>
      </c>
    </row>
    <row r="185" spans="1:1" ht="15" customHeight="1">
      <c r="A185" t="s">
        <v>450</v>
      </c>
    </row>
    <row r="186" spans="1:1" ht="15" customHeight="1">
      <c r="A186" t="s">
        <v>451</v>
      </c>
    </row>
    <row r="187" spans="1:1" ht="15" customHeight="1">
      <c r="A187" t="s">
        <v>452</v>
      </c>
    </row>
    <row r="188" spans="1:1" ht="15" customHeight="1">
      <c r="A188" t="s">
        <v>453</v>
      </c>
    </row>
    <row r="189" spans="1:1" ht="15" customHeight="1">
      <c r="A189" t="s">
        <v>454</v>
      </c>
    </row>
    <row r="190" spans="1:1" ht="15" customHeight="1">
      <c r="A190" t="s">
        <v>455</v>
      </c>
    </row>
    <row r="191" spans="1:1" ht="15" customHeight="1">
      <c r="A191" t="s">
        <v>456</v>
      </c>
    </row>
    <row r="192" spans="1:1" ht="15" customHeight="1">
      <c r="A192" t="s">
        <v>457</v>
      </c>
    </row>
    <row r="193" spans="1:1" ht="15" customHeight="1">
      <c r="A193" t="s">
        <v>458</v>
      </c>
    </row>
    <row r="194" spans="1:1" ht="15" customHeight="1">
      <c r="A194" t="s">
        <v>459</v>
      </c>
    </row>
    <row r="195" spans="1:1" ht="15" customHeight="1">
      <c r="A195" t="s">
        <v>460</v>
      </c>
    </row>
    <row r="196" spans="1:1" ht="15" customHeight="1">
      <c r="A196" t="s">
        <v>461</v>
      </c>
    </row>
    <row r="197" spans="1:1" ht="15" customHeight="1">
      <c r="A197" t="s">
        <v>462</v>
      </c>
    </row>
    <row r="198" spans="1:1" ht="15" customHeight="1">
      <c r="A198" t="s">
        <v>463</v>
      </c>
    </row>
    <row r="199" spans="1:1" ht="15" customHeight="1">
      <c r="A199" t="s">
        <v>464</v>
      </c>
    </row>
    <row r="200" spans="1:1" ht="15" customHeight="1">
      <c r="A200" t="s">
        <v>465</v>
      </c>
    </row>
    <row r="201" spans="1:1" ht="15" customHeight="1">
      <c r="A201" t="s">
        <v>466</v>
      </c>
    </row>
    <row r="202" spans="1:1" ht="15" customHeight="1">
      <c r="A202" t="s">
        <v>467</v>
      </c>
    </row>
    <row r="203" spans="1:1" ht="15" customHeight="1">
      <c r="A203" t="s">
        <v>468</v>
      </c>
    </row>
    <row r="204" spans="1:1" ht="15" customHeight="1">
      <c r="A204" t="s">
        <v>469</v>
      </c>
    </row>
    <row r="205" spans="1:1" ht="15" customHeight="1">
      <c r="A205" t="s">
        <v>470</v>
      </c>
    </row>
    <row r="206" spans="1:1" ht="15" customHeight="1">
      <c r="A206" t="s">
        <v>471</v>
      </c>
    </row>
    <row r="207" spans="1:1" ht="15" customHeight="1">
      <c r="A207" t="s">
        <v>472</v>
      </c>
    </row>
    <row r="208" spans="1:1" ht="15" customHeight="1">
      <c r="A208" t="s">
        <v>473</v>
      </c>
    </row>
    <row r="209" spans="1:1" ht="15" customHeight="1">
      <c r="A209" t="s">
        <v>474</v>
      </c>
    </row>
    <row r="210" spans="1:1" ht="15" customHeight="1">
      <c r="A210" t="s">
        <v>475</v>
      </c>
    </row>
    <row r="211" spans="1:1" ht="15" customHeight="1">
      <c r="A211" t="s">
        <v>476</v>
      </c>
    </row>
    <row r="212" spans="1:1" ht="15" customHeight="1">
      <c r="A212" t="s">
        <v>477</v>
      </c>
    </row>
    <row r="213" spans="1:1" ht="15" customHeight="1">
      <c r="A213" t="s">
        <v>478</v>
      </c>
    </row>
    <row r="214" spans="1:1" ht="15" customHeight="1">
      <c r="A214" t="s">
        <v>479</v>
      </c>
    </row>
    <row r="215" spans="1:1" ht="15" customHeight="1">
      <c r="A215" t="s">
        <v>480</v>
      </c>
    </row>
    <row r="216" spans="1:1" ht="15" customHeight="1">
      <c r="A216" t="s">
        <v>481</v>
      </c>
    </row>
    <row r="217" spans="1:1" ht="15" customHeight="1">
      <c r="A217" t="s">
        <v>482</v>
      </c>
    </row>
    <row r="218" spans="1:1" ht="15" customHeight="1">
      <c r="A218" t="s">
        <v>483</v>
      </c>
    </row>
    <row r="219" spans="1:1" ht="15" customHeight="1">
      <c r="A219" t="s">
        <v>484</v>
      </c>
    </row>
    <row r="220" spans="1:1" ht="15" customHeight="1">
      <c r="A220" t="s">
        <v>485</v>
      </c>
    </row>
    <row r="221" spans="1:1" ht="15" customHeight="1">
      <c r="A221" t="s">
        <v>486</v>
      </c>
    </row>
    <row r="222" spans="1:1" ht="15" customHeight="1">
      <c r="A222" t="s">
        <v>487</v>
      </c>
    </row>
    <row r="223" spans="1:1" ht="15" customHeight="1">
      <c r="A223" t="s">
        <v>488</v>
      </c>
    </row>
    <row r="224" spans="1:1" ht="15" customHeight="1">
      <c r="A224" t="s">
        <v>489</v>
      </c>
    </row>
    <row r="225" spans="1:1" ht="15" customHeight="1">
      <c r="A225" t="s">
        <v>490</v>
      </c>
    </row>
    <row r="226" spans="1:1" ht="15" customHeight="1">
      <c r="A226" t="s">
        <v>491</v>
      </c>
    </row>
    <row r="227" spans="1:1" ht="15" customHeight="1">
      <c r="A227" t="s">
        <v>492</v>
      </c>
    </row>
    <row r="228" spans="1:1" ht="15" customHeight="1">
      <c r="A228" t="s">
        <v>493</v>
      </c>
    </row>
    <row r="229" spans="1:1" ht="15" customHeight="1">
      <c r="A229" t="s">
        <v>494</v>
      </c>
    </row>
    <row r="230" spans="1:1" ht="15" customHeight="1">
      <c r="A230" t="s">
        <v>495</v>
      </c>
    </row>
    <row r="231" spans="1:1" ht="15" customHeight="1">
      <c r="A231" t="s">
        <v>496</v>
      </c>
    </row>
    <row r="232" spans="1:1" ht="15" customHeight="1">
      <c r="A232" t="s">
        <v>497</v>
      </c>
    </row>
    <row r="233" spans="1:1" ht="15" customHeight="1">
      <c r="A233" t="s">
        <v>498</v>
      </c>
    </row>
    <row r="234" spans="1:1" ht="15" customHeight="1">
      <c r="A234" t="s">
        <v>499</v>
      </c>
    </row>
    <row r="235" spans="1:1" ht="15" customHeight="1">
      <c r="A235" t="s">
        <v>500</v>
      </c>
    </row>
    <row r="236" spans="1:1" ht="15" customHeight="1">
      <c r="A236" t="s">
        <v>501</v>
      </c>
    </row>
    <row r="237" spans="1:1" ht="15" customHeight="1">
      <c r="A237" t="s">
        <v>502</v>
      </c>
    </row>
    <row r="238" spans="1:1" ht="15" customHeight="1">
      <c r="A238" t="s">
        <v>503</v>
      </c>
    </row>
    <row r="239" spans="1:1" ht="15" customHeight="1">
      <c r="A239" t="s">
        <v>504</v>
      </c>
    </row>
    <row r="240" spans="1:1" ht="15" customHeight="1">
      <c r="A240" t="s">
        <v>505</v>
      </c>
    </row>
    <row r="241" spans="1:1" ht="15" customHeight="1">
      <c r="A241" t="s">
        <v>506</v>
      </c>
    </row>
    <row r="242" spans="1:1" ht="15" customHeight="1">
      <c r="A242" t="s">
        <v>507</v>
      </c>
    </row>
    <row r="243" spans="1:1" ht="15" customHeight="1">
      <c r="A243" t="s">
        <v>508</v>
      </c>
    </row>
    <row r="244" spans="1:1" ht="15" customHeight="1">
      <c r="A244" t="s">
        <v>509</v>
      </c>
    </row>
    <row r="245" spans="1:1" ht="15" customHeight="1">
      <c r="A245" t="s">
        <v>510</v>
      </c>
    </row>
    <row r="246" spans="1:1" ht="15" customHeight="1">
      <c r="A246" t="s">
        <v>511</v>
      </c>
    </row>
    <row r="247" spans="1:1" ht="15" customHeight="1">
      <c r="A247" t="s">
        <v>512</v>
      </c>
    </row>
    <row r="248" spans="1:1" ht="15" customHeight="1">
      <c r="A248" t="s">
        <v>513</v>
      </c>
    </row>
    <row r="249" spans="1:1" ht="15" customHeight="1">
      <c r="A249" t="s">
        <v>514</v>
      </c>
    </row>
    <row r="250" spans="1:1" ht="15" customHeight="1">
      <c r="A250" t="s">
        <v>515</v>
      </c>
    </row>
    <row r="251" spans="1:1" ht="15" customHeight="1">
      <c r="A251" t="s">
        <v>516</v>
      </c>
    </row>
    <row r="252" spans="1:1" ht="15" customHeight="1">
      <c r="A252" t="s">
        <v>517</v>
      </c>
    </row>
    <row r="253" spans="1:1" ht="15" customHeight="1">
      <c r="A253" t="s">
        <v>518</v>
      </c>
    </row>
    <row r="254" spans="1:1" ht="15" customHeight="1">
      <c r="A254" t="s">
        <v>519</v>
      </c>
    </row>
    <row r="255" spans="1:1" ht="15" customHeight="1">
      <c r="A255" t="s">
        <v>520</v>
      </c>
    </row>
    <row r="256" spans="1:1" ht="15" customHeight="1">
      <c r="A256" t="s">
        <v>521</v>
      </c>
    </row>
    <row r="257" spans="1:1" ht="15" customHeight="1">
      <c r="A257" t="s">
        <v>522</v>
      </c>
    </row>
    <row r="258" spans="1:1" ht="15" customHeight="1">
      <c r="A258" t="s">
        <v>523</v>
      </c>
    </row>
    <row r="259" spans="1:1" ht="15" customHeight="1">
      <c r="A259" t="s">
        <v>524</v>
      </c>
    </row>
    <row r="260" spans="1:1" ht="15" customHeight="1">
      <c r="A260" t="s">
        <v>525</v>
      </c>
    </row>
    <row r="261" spans="1:1" ht="15" customHeight="1">
      <c r="A261" t="s">
        <v>526</v>
      </c>
    </row>
    <row r="262" spans="1:1" ht="15" customHeight="1">
      <c r="A262" t="s">
        <v>527</v>
      </c>
    </row>
    <row r="263" spans="1:1" ht="15" customHeight="1">
      <c r="A263" t="s">
        <v>528</v>
      </c>
    </row>
    <row r="264" spans="1:1" ht="15" customHeight="1">
      <c r="A264" t="s">
        <v>529</v>
      </c>
    </row>
    <row r="265" spans="1:1" ht="15" customHeight="1">
      <c r="A265" t="s">
        <v>530</v>
      </c>
    </row>
    <row r="266" spans="1:1" ht="15" customHeight="1">
      <c r="A266" t="s">
        <v>531</v>
      </c>
    </row>
    <row r="267" spans="1:1" ht="15" customHeight="1">
      <c r="A267" t="s">
        <v>532</v>
      </c>
    </row>
    <row r="268" spans="1:1" ht="15" customHeight="1">
      <c r="A268" t="s">
        <v>533</v>
      </c>
    </row>
    <row r="269" spans="1:1" ht="15" customHeight="1">
      <c r="A269" t="s">
        <v>534</v>
      </c>
    </row>
    <row r="270" spans="1:1" ht="15" customHeight="1">
      <c r="A270" t="s">
        <v>535</v>
      </c>
    </row>
    <row r="271" spans="1:1" ht="15" customHeight="1">
      <c r="A271" t="s">
        <v>536</v>
      </c>
    </row>
    <row r="272" spans="1:1" ht="15" customHeight="1">
      <c r="A272" t="s">
        <v>537</v>
      </c>
    </row>
    <row r="273" spans="1:1" ht="15" customHeight="1">
      <c r="A273" t="s">
        <v>538</v>
      </c>
    </row>
    <row r="274" spans="1:1" ht="15" customHeight="1">
      <c r="A274" t="s">
        <v>539</v>
      </c>
    </row>
    <row r="275" spans="1:1" ht="15" customHeight="1">
      <c r="A275" t="s">
        <v>540</v>
      </c>
    </row>
    <row r="276" spans="1:1" ht="15" customHeight="1">
      <c r="A276" t="s">
        <v>541</v>
      </c>
    </row>
    <row r="277" spans="1:1" ht="15" customHeight="1">
      <c r="A277" t="s">
        <v>542</v>
      </c>
    </row>
    <row r="278" spans="1:1" ht="15" customHeight="1">
      <c r="A278" t="s">
        <v>543</v>
      </c>
    </row>
    <row r="279" spans="1:1" ht="15" customHeight="1">
      <c r="A279" t="s">
        <v>544</v>
      </c>
    </row>
    <row r="280" spans="1:1" ht="15" customHeight="1">
      <c r="A280" t="s">
        <v>545</v>
      </c>
    </row>
    <row r="281" spans="1:1" ht="15" customHeight="1">
      <c r="A281" t="s">
        <v>546</v>
      </c>
    </row>
    <row r="282" spans="1:1" ht="15" customHeight="1">
      <c r="A282" t="s">
        <v>547</v>
      </c>
    </row>
    <row r="283" spans="1:1" ht="15" customHeight="1">
      <c r="A283" t="s">
        <v>548</v>
      </c>
    </row>
    <row r="284" spans="1:1" ht="15" customHeight="1">
      <c r="A284" t="s">
        <v>549</v>
      </c>
    </row>
    <row r="285" spans="1:1" ht="15" customHeight="1">
      <c r="A285" t="s">
        <v>550</v>
      </c>
    </row>
    <row r="286" spans="1:1" ht="15" customHeight="1">
      <c r="A286" t="s">
        <v>551</v>
      </c>
    </row>
    <row r="287" spans="1:1" ht="15" customHeight="1">
      <c r="A287" t="s">
        <v>552</v>
      </c>
    </row>
    <row r="288" spans="1:1" ht="15" customHeight="1">
      <c r="A288" t="s">
        <v>553</v>
      </c>
    </row>
    <row r="289" spans="1:1" ht="15" customHeight="1">
      <c r="A289" t="s">
        <v>554</v>
      </c>
    </row>
    <row r="290" spans="1:1" ht="15" customHeight="1">
      <c r="A290" t="s">
        <v>555</v>
      </c>
    </row>
    <row r="291" spans="1:1" ht="15" customHeight="1">
      <c r="A291" t="s">
        <v>556</v>
      </c>
    </row>
    <row r="292" spans="1:1" ht="15" customHeight="1">
      <c r="A292" t="s">
        <v>557</v>
      </c>
    </row>
    <row r="293" spans="1:1" ht="15" customHeight="1">
      <c r="A293" t="s">
        <v>558</v>
      </c>
    </row>
    <row r="294" spans="1:1" ht="15" customHeight="1">
      <c r="A294" t="s">
        <v>559</v>
      </c>
    </row>
    <row r="295" spans="1:1" ht="15" customHeight="1">
      <c r="A295" t="s">
        <v>560</v>
      </c>
    </row>
    <row r="296" spans="1:1" ht="15" customHeight="1">
      <c r="A296" t="s">
        <v>561</v>
      </c>
    </row>
    <row r="297" spans="1:1" ht="15" customHeight="1">
      <c r="A297" t="s">
        <v>562</v>
      </c>
    </row>
    <row r="298" spans="1:1" ht="15" customHeight="1">
      <c r="A298" t="s">
        <v>563</v>
      </c>
    </row>
    <row r="299" spans="1:1" ht="15" customHeight="1">
      <c r="A299" t="s">
        <v>564</v>
      </c>
    </row>
    <row r="300" spans="1:1" ht="15" customHeight="1">
      <c r="A300" t="s">
        <v>565</v>
      </c>
    </row>
    <row r="301" spans="1:1" ht="15" customHeight="1">
      <c r="A301" t="s">
        <v>566</v>
      </c>
    </row>
  </sheetData>
  <autoFilter ref="A1:L301" xr:uid="{00000000-0009-0000-0000-000001000000}"/>
  <phoneticPr fontId="4" type="noConversion"/>
  <dataValidations count="6">
    <dataValidation type="list" allowBlank="1" sqref="B2:B301" xr:uid="{00000000-0002-0000-0100-000000000000}">
      <formula1>"Week 1,Week 2,Week 3"</formula1>
      <formula2>0</formula2>
    </dataValidation>
    <dataValidation type="list" allowBlank="1" sqref="D2:D301" xr:uid="{00000000-0002-0000-0100-000001000000}">
      <formula1>"METAR,SPECI,TAF,SIGMET"</formula1>
      <formula2>0</formula2>
    </dataValidation>
    <dataValidation type="list" allowBlank="1" sqref="F2:G301" xr:uid="{00000000-0002-0000-0100-000002000000}">
      <formula1>"PASS,FAIL,NOT TESTED"</formula1>
      <formula2>0</formula2>
    </dataValidation>
    <dataValidation type="list" allowBlank="1" sqref="H2:H301" xr:uid="{00000000-0002-0000-0100-000004000000}">
      <formula1>"YES,NO,UNCERTAIN"</formula1>
      <formula2>0</formula2>
    </dataValidation>
    <dataValidation type="list" allowBlank="1" sqref="I2:I301" xr:uid="{00000000-0002-0000-0100-000005000000}">
      <formula1>"Critical,Major,Minor,None"</formula1>
      <formula2>0</formula2>
    </dataValidation>
    <dataValidation type="list" allowBlank="1" sqref="L2:L301" xr:uid="{00000000-0002-0000-0100-000006000000}">
      <formula1>"PASS,FAIL,NOT RETESTED"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zoomScaleNormal="100" workbookViewId="0">
      <pane ySplit="1" topLeftCell="A2" activePane="bottomLeft" state="frozen"/>
      <selection pane="bottomLeft" activeCell="C4" sqref="C4"/>
    </sheetView>
  </sheetViews>
  <sheetFormatPr defaultColWidth="8.5703125" defaultRowHeight="15" customHeight="1"/>
  <cols>
    <col min="1" max="1" width="16" customWidth="1"/>
    <col min="2" max="2" width="34" customWidth="1"/>
    <col min="3" max="5" width="18" customWidth="1"/>
    <col min="6" max="8" width="14" customWidth="1"/>
  </cols>
  <sheetData>
    <row r="1" spans="1:8" ht="15" customHeight="1">
      <c r="A1" s="4" t="s">
        <v>7</v>
      </c>
      <c r="B1" s="4" t="s">
        <v>567</v>
      </c>
      <c r="C1" s="4" t="s">
        <v>568</v>
      </c>
      <c r="D1" s="4" t="s">
        <v>569</v>
      </c>
      <c r="E1" s="4" t="s">
        <v>570</v>
      </c>
      <c r="F1" s="4" t="s">
        <v>27</v>
      </c>
      <c r="G1" s="4" t="s">
        <v>63</v>
      </c>
      <c r="H1" s="4" t="s">
        <v>71</v>
      </c>
    </row>
    <row r="2" spans="1:8" ht="15" customHeight="1">
      <c r="A2" t="s">
        <v>18</v>
      </c>
      <c r="B2">
        <f>COUNTIF('Test Log'!$D$2:$D$1000,A2)</f>
        <v>91</v>
      </c>
      <c r="C2">
        <f>COUNTIFS('Test Log'!$D$2:$D$1000,A2,'Test Log'!$F$2:$F$1000,"PASS")</f>
        <v>79</v>
      </c>
      <c r="D2">
        <f>COUNTIFS('Test Log'!$D$2:$D$1000,A2,'Test Log'!$G$2:$G$1000,"PASS")</f>
        <v>91</v>
      </c>
      <c r="E2">
        <f>COUNTIFS('Test Log'!$D$2:$D$1000,A2,'Test Log'!$H$2:$H$1000,"YES")</f>
        <v>78</v>
      </c>
      <c r="F2">
        <f>COUNTIFS('Test Log'!$D$2:$D$1000,A2,'Test Log'!$I$2:$I$1000,"Critical")</f>
        <v>0</v>
      </c>
      <c r="G2">
        <f>COUNTIFS('Test Log'!$D$2:$D$1000,A2,'Test Log'!$I$2:$I$1000,"Major")</f>
        <v>12</v>
      </c>
      <c r="H2">
        <f>COUNTIFS('Test Log'!$D$2:$D$1000,A2,'Test Log'!$I$2:$I$1000,"Minor")</f>
        <v>20</v>
      </c>
    </row>
    <row r="3" spans="1:8" ht="15" customHeight="1">
      <c r="A3" t="s">
        <v>99</v>
      </c>
      <c r="B3">
        <f>COUNTIF('Test Log'!$D$2:$D$1000,A3)</f>
        <v>46</v>
      </c>
      <c r="C3">
        <f>COUNTIFS('Test Log'!$D$2:$D$1000,A3,'Test Log'!$F$2:$F$1000,"PASS")</f>
        <v>29</v>
      </c>
      <c r="D3">
        <f>COUNTIFS('Test Log'!$D$2:$D$1000,A3,'Test Log'!$G$2:$G$1000,"PASS")</f>
        <v>45</v>
      </c>
      <c r="E3">
        <f>COUNTIFS('Test Log'!$D$2:$D$1000,A3,'Test Log'!$H$2:$H$1000,"YES")</f>
        <v>22</v>
      </c>
      <c r="F3">
        <f>COUNTIFS('Test Log'!$D$2:$D$1000,A3,'Test Log'!$I$2:$I$1000,"Critical")</f>
        <v>2</v>
      </c>
      <c r="G3">
        <f>COUNTIFS('Test Log'!$D$2:$D$1000,A3,'Test Log'!$I$2:$I$1000,"Major")</f>
        <v>16</v>
      </c>
      <c r="H3">
        <f>COUNTIFS('Test Log'!$D$2:$D$1000,A3,'Test Log'!$I$2:$I$1000,"Minor")</f>
        <v>15</v>
      </c>
    </row>
    <row r="4" spans="1:8" ht="15" customHeight="1">
      <c r="A4" t="s">
        <v>24</v>
      </c>
      <c r="B4">
        <f>COUNTIF('Test Log'!$D$2:$D$1000,A4)</f>
        <v>38</v>
      </c>
      <c r="C4">
        <f>COUNTIFS('Test Log'!$D$2:$D$1000,A4,'Test Log'!$F$2:$F$1000,"PASS")</f>
        <v>31</v>
      </c>
      <c r="D4">
        <f>COUNTIFS('Test Log'!$D$2:$D$1000,A4,'Test Log'!$G$2:$G$1000,"PASS")</f>
        <v>36</v>
      </c>
      <c r="E4">
        <f>COUNTIFS('Test Log'!$D$2:$D$1000,A4,'Test Log'!$H$2:$H$1000,"YES")</f>
        <v>31</v>
      </c>
      <c r="F4">
        <f>COUNTIFS('Test Log'!$D$2:$D$1000,A4,'Test Log'!$I$2:$I$1000,"Critical")</f>
        <v>2</v>
      </c>
      <c r="G4">
        <f>COUNTIFS('Test Log'!$D$2:$D$1000,A4,'Test Log'!$I$2:$I$1000,"Major")</f>
        <v>7</v>
      </c>
      <c r="H4">
        <f>COUNTIFS('Test Log'!$D$2:$D$1000,A4,'Test Log'!$I$2:$I$1000,"Minor")</f>
        <v>12</v>
      </c>
    </row>
    <row r="5" spans="1:8" ht="15" customHeight="1">
      <c r="A5" t="s">
        <v>571</v>
      </c>
      <c r="B5">
        <f>COUNTIF('Test Log'!$D$2:$D$1000,A5)</f>
        <v>0</v>
      </c>
      <c r="C5">
        <f>COUNTIFS('Test Log'!$D$2:$D$1000,A5,'Test Log'!$F$2:$F$1000,"PASS")</f>
        <v>0</v>
      </c>
      <c r="D5">
        <f>COUNTIFS('Test Log'!$D$2:$D$1000,A5,'Test Log'!$G$2:$G$1000,"PASS")</f>
        <v>0</v>
      </c>
      <c r="E5">
        <f>COUNTIFS('Test Log'!$D$2:$D$1000,A5,'Test Log'!$H$2:$H$1000,"YES")</f>
        <v>0</v>
      </c>
      <c r="F5">
        <f>COUNTIFS('Test Log'!$D$2:$D$1000,A5,'Test Log'!$I$2:$I$1000,"Critical")</f>
        <v>0</v>
      </c>
      <c r="G5">
        <f>COUNTIFS('Test Log'!$D$2:$D$1000,A5,'Test Log'!$I$2:$I$1000,"Major")</f>
        <v>0</v>
      </c>
      <c r="H5">
        <f>COUNTIFS('Test Log'!$D$2:$D$1000,A5,'Test Log'!$I$2:$I$1000,"Minor")</f>
        <v>0</v>
      </c>
    </row>
    <row r="6" spans="1:8" ht="15" customHeight="1">
      <c r="A6" t="s">
        <v>572</v>
      </c>
      <c r="B6">
        <f t="shared" ref="B6:H6" si="0">SUM(B2:B5)</f>
        <v>175</v>
      </c>
      <c r="C6">
        <f t="shared" si="0"/>
        <v>139</v>
      </c>
      <c r="D6">
        <f t="shared" si="0"/>
        <v>172</v>
      </c>
      <c r="E6">
        <f t="shared" si="0"/>
        <v>131</v>
      </c>
      <c r="F6">
        <f t="shared" si="0"/>
        <v>4</v>
      </c>
      <c r="G6">
        <f t="shared" si="0"/>
        <v>35</v>
      </c>
      <c r="H6">
        <f t="shared" si="0"/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zoomScaleNormal="100" workbookViewId="0">
      <pane ySplit="1" topLeftCell="A2" activePane="bottomLeft" state="frozen"/>
      <selection pane="bottomLeft" activeCell="D4" sqref="D4"/>
    </sheetView>
  </sheetViews>
  <sheetFormatPr defaultColWidth="8.5703125" defaultRowHeight="15" customHeight="1"/>
  <cols>
    <col min="1" max="1" width="14" customWidth="1"/>
    <col min="2" max="2" width="40" customWidth="1"/>
    <col min="3" max="5" width="18" customWidth="1"/>
    <col min="6" max="6" width="16" customWidth="1"/>
    <col min="7" max="9" width="14" customWidth="1"/>
  </cols>
  <sheetData>
    <row r="1" spans="1:9" ht="15" customHeight="1">
      <c r="A1" s="4" t="s">
        <v>5</v>
      </c>
      <c r="B1" s="4" t="s">
        <v>573</v>
      </c>
      <c r="C1" s="4" t="s">
        <v>567</v>
      </c>
      <c r="D1" s="4" t="s">
        <v>568</v>
      </c>
      <c r="E1" s="4" t="s">
        <v>569</v>
      </c>
      <c r="F1" s="4" t="s">
        <v>570</v>
      </c>
      <c r="G1" s="4" t="s">
        <v>27</v>
      </c>
      <c r="H1" s="4" t="s">
        <v>63</v>
      </c>
      <c r="I1" s="4" t="s">
        <v>71</v>
      </c>
    </row>
    <row r="2" spans="1:9" ht="15" customHeight="1">
      <c r="A2" t="s">
        <v>17</v>
      </c>
      <c r="B2" t="s">
        <v>574</v>
      </c>
      <c r="C2">
        <f>COUNTIF('Test Log'!$B$2:$B$1000,A2)</f>
        <v>123</v>
      </c>
      <c r="D2">
        <f>COUNTIFS('Test Log'!$B$2:$B$1000,A2,'Test Log'!$F$2:$F$1000,"PASS")</f>
        <v>97</v>
      </c>
      <c r="E2">
        <f>COUNTIFS('Test Log'!$B$2:$B$1000,A2,'Test Log'!$G$2:$G$1000,"PASS")</f>
        <v>120</v>
      </c>
      <c r="F2">
        <f>COUNTIFS('Test Log'!$B$2:$B$1000,A2,'Test Log'!$H$2:$H$1000,"YES")</f>
        <v>86</v>
      </c>
      <c r="G2">
        <f>COUNTIFS('Test Log'!$B$2:$B$1000,A2,'Test Log'!$I$2:$I$1000,"Critical")</f>
        <v>4</v>
      </c>
      <c r="H2">
        <f>COUNTIFS('Test Log'!$B$2:$B$1000,A2,'Test Log'!$I$2:$I$1000,"Major")</f>
        <v>28</v>
      </c>
      <c r="I2">
        <f>COUNTIFS('Test Log'!$B$2:$B$1000,A2,'Test Log'!$I$2:$I$1000,"Minor")</f>
        <v>24</v>
      </c>
    </row>
    <row r="3" spans="1:9" ht="15" customHeight="1">
      <c r="A3" t="s">
        <v>325</v>
      </c>
      <c r="B3" t="s">
        <v>575</v>
      </c>
      <c r="C3">
        <f>COUNTIF('Test Log'!$B$2:$B$1000,A3)</f>
        <v>52</v>
      </c>
      <c r="D3">
        <f>COUNTIFS('Test Log'!$B$2:$B$1000,A3,'Test Log'!$F$2:$F$1000,"PASS")</f>
        <v>42</v>
      </c>
      <c r="E3">
        <f>COUNTIFS('Test Log'!$B$2:$B$1000,A3,'Test Log'!$G$2:$G$1000,"PASS")</f>
        <v>52</v>
      </c>
      <c r="F3">
        <f>COUNTIFS('Test Log'!$B$2:$B$1000,A3,'Test Log'!$H$2:$H$1000,"YES")</f>
        <v>45</v>
      </c>
      <c r="G3">
        <f>COUNTIFS('Test Log'!$B$2:$B$1000,A3,'Test Log'!$I$2:$I$1000,"Critical")</f>
        <v>0</v>
      </c>
      <c r="H3">
        <f>COUNTIFS('Test Log'!$B$2:$B$1000,A3,'Test Log'!$I$2:$I$1000,"Major")</f>
        <v>7</v>
      </c>
      <c r="I3">
        <f>COUNTIFS('Test Log'!$B$2:$B$1000,A3,'Test Log'!$I$2:$I$1000,"Minor")</f>
        <v>23</v>
      </c>
    </row>
    <row r="4" spans="1:9" ht="15" customHeight="1">
      <c r="A4" t="s">
        <v>576</v>
      </c>
      <c r="B4" t="s">
        <v>577</v>
      </c>
      <c r="C4">
        <f>COUNTIF('Test Log'!$B$2:$B$1000,A4)</f>
        <v>0</v>
      </c>
      <c r="D4">
        <f>COUNTIFS('Test Log'!$B$2:$B$1000,A4,'Test Log'!$F$2:$F$1000,"PASS")</f>
        <v>0</v>
      </c>
      <c r="E4">
        <f>COUNTIFS('Test Log'!$B$2:$B$1000,A4,'Test Log'!$G$2:$G$1000,"PASS")</f>
        <v>0</v>
      </c>
      <c r="F4">
        <f>COUNTIFS('Test Log'!$B$2:$B$1000,A4,'Test Log'!$H$2:$H$1000,"YES")</f>
        <v>0</v>
      </c>
      <c r="G4">
        <f>COUNTIFS('Test Log'!$B$2:$B$1000,A4,'Test Log'!$I$2:$I$1000,"Critical")</f>
        <v>0</v>
      </c>
      <c r="H4">
        <f>COUNTIFS('Test Log'!$B$2:$B$1000,A4,'Test Log'!$I$2:$I$1000,"Major")</f>
        <v>0</v>
      </c>
      <c r="I4">
        <f>COUNTIFS('Test Log'!$B$2:$B$1000,A4,'Test Log'!$I$2:$I$1000,"Minor")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Chelsee G. Lopez</cp:lastModifiedBy>
  <cp:revision>0</cp:revision>
  <dcterms:created xsi:type="dcterms:W3CDTF">2026-09-08T15:46:27Z</dcterms:created>
  <dcterms:modified xsi:type="dcterms:W3CDTF">2026-10-01T21:27:35Z</dcterms:modified>
  <cp:category/>
  <cp:contentStatus/>
</cp:coreProperties>
</file>