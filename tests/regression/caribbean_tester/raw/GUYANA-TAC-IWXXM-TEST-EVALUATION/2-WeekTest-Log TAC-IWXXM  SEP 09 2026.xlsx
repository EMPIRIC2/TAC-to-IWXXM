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esktop\TAC-IWXXM\"/>
    </mc:Choice>
  </mc:AlternateContent>
  <xr:revisionPtr revIDLastSave="0" documentId="13_ncr:1_{69DE2E33-2251-4442-B874-0864209EF4FE}"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Test Log" sheetId="2" r:id="rId2"/>
    <sheet name="Summary" sheetId="3" r:id="rId3"/>
    <sheet name="Weekly Summary" sheetId="4" r:id="rId4"/>
  </sheets>
  <definedNames>
    <definedName name="_xlnm._FilterDatabase" localSheetId="1" hidden="1">'Test Log'!$A$1:$L$301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4" l="1"/>
  <c r="H4" i="4"/>
  <c r="G4" i="4"/>
  <c r="F4" i="4"/>
  <c r="E4" i="4"/>
  <c r="D4" i="4"/>
  <c r="C4" i="4"/>
  <c r="I3" i="4"/>
  <c r="H3" i="4"/>
  <c r="G3" i="4"/>
  <c r="F3" i="4"/>
  <c r="E3" i="4"/>
  <c r="D3" i="4"/>
  <c r="C3" i="4"/>
  <c r="I2" i="4"/>
  <c r="H2" i="4"/>
  <c r="G2" i="4"/>
  <c r="F2" i="4"/>
  <c r="E2" i="4"/>
  <c r="D2" i="4"/>
  <c r="C2" i="4"/>
  <c r="H5" i="3"/>
  <c r="G5" i="3"/>
  <c r="F5" i="3"/>
  <c r="E5" i="3"/>
  <c r="D5" i="3"/>
  <c r="C5" i="3"/>
  <c r="B5" i="3"/>
  <c r="H4" i="3"/>
  <c r="G4" i="3"/>
  <c r="F4" i="3"/>
  <c r="E4" i="3"/>
  <c r="D4" i="3"/>
  <c r="C4" i="3"/>
  <c r="B4" i="3"/>
  <c r="H3" i="3"/>
  <c r="G3" i="3"/>
  <c r="F3" i="3"/>
  <c r="E3" i="3"/>
  <c r="D3" i="3"/>
  <c r="C3" i="3"/>
  <c r="B3" i="3"/>
  <c r="H2" i="3"/>
  <c r="G2" i="3"/>
  <c r="F2" i="3"/>
  <c r="E2" i="3"/>
  <c r="D2" i="3"/>
  <c r="C2" i="3"/>
  <c r="B2" i="3"/>
  <c r="D6" i="3" l="1"/>
  <c r="C6" i="3"/>
  <c r="G6" i="3"/>
  <c r="H6" i="3"/>
  <c r="E6" i="3"/>
  <c r="F6" i="3"/>
  <c r="B6" i="3"/>
</calcChain>
</file>

<file path=xl/sharedStrings.xml><?xml version="1.0" encoding="utf-8"?>
<sst xmlns="http://schemas.openxmlformats.org/spreadsheetml/2006/main" count="789" uniqueCount="477">
  <si>
    <t>How to use the Test Log</t>
  </si>
  <si>
    <t>Enter one test per row on the 'Test Log' sheet. The Summary and Weekly Summary sheets calculate automatically from those entries.</t>
  </si>
  <si>
    <t>Use the drop-down lists for Week, Product, Translation Result, IWXXM Validation, Accuracy and Severity to ensure the formulas count results consistently.</t>
  </si>
  <si>
    <t>For a failed or questionable result, also complete an Error Report and reference the file/screenshot in the Test Log.</t>
  </si>
  <si>
    <t>Test ID</t>
  </si>
  <si>
    <t>Week</t>
  </si>
  <si>
    <t>Date</t>
  </si>
  <si>
    <t>Product</t>
  </si>
  <si>
    <t>TAC Message / Reference</t>
  </si>
  <si>
    <t>Translation Result</t>
  </si>
  <si>
    <t>IWXXM Validation</t>
  </si>
  <si>
    <t>TAC vs IWXXM Accurate?</t>
  </si>
  <si>
    <t>Severity</t>
  </si>
  <si>
    <t>Issue / Comment</t>
  </si>
  <si>
    <t>Screenshot / File Reference</t>
  </si>
  <si>
    <t>Retest Result</t>
  </si>
  <si>
    <t>Week 1</t>
  </si>
  <si>
    <t>METAR</t>
  </si>
  <si>
    <t>PASS</t>
  </si>
  <si>
    <t>T002</t>
  </si>
  <si>
    <t>Week 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</si>
  <si>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</si>
  <si>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</si>
  <si>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</si>
  <si>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</si>
  <si>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</si>
  <si>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</si>
  <si>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</si>
  <si>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</si>
  <si>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</si>
  <si>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</si>
  <si>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</si>
  <si>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</si>
  <si>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</si>
  <si>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</si>
  <si>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</si>
  <si>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</si>
  <si>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</si>
  <si>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</si>
  <si>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</si>
  <si>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</si>
  <si>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</si>
  <si>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</si>
  <si>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</si>
  <si>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</si>
  <si>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</si>
  <si>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</si>
  <si>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</si>
  <si>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</si>
  <si>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</si>
  <si>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</si>
  <si>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</si>
  <si>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</si>
  <si>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</si>
  <si>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</si>
  <si>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</si>
  <si>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</si>
  <si>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</si>
  <si>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</si>
  <si>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</si>
  <si>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</si>
  <si>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</si>
  <si>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</si>
  <si>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</si>
  <si>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</si>
  <si>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</si>
  <si>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</si>
  <si>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</si>
  <si>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</si>
  <si>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</si>
  <si>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</si>
  <si>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</si>
  <si>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</si>
  <si>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</si>
  <si>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</si>
  <si>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</si>
  <si>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</si>
  <si>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</si>
  <si>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</si>
  <si>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</si>
  <si>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</si>
  <si>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</si>
  <si>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</si>
  <si>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</si>
  <si>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</si>
  <si>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</si>
  <si>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</si>
  <si>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</si>
  <si>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</si>
  <si>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</si>
  <si>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</si>
  <si>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</si>
  <si>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</si>
  <si>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</si>
  <si>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</si>
  <si>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</si>
  <si>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</si>
  <si>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</si>
  <si>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</si>
  <si>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</si>
  <si>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</si>
  <si>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</si>
  <si>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</si>
  <si>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</si>
  <si>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</si>
  <si>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</si>
  <si>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</si>
  <si>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</si>
  <si>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</si>
  <si>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</si>
  <si>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</si>
  <si>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</si>
  <si>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</si>
  <si>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</si>
  <si>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</si>
  <si>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</si>
  <si>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</si>
  <si>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</si>
  <si>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</si>
  <si>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</si>
  <si>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</si>
  <si>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</si>
  <si>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</si>
  <si>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</si>
  <si>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</si>
  <si>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</si>
  <si>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</si>
  <si>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</si>
  <si>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</si>
  <si>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</si>
  <si>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</si>
  <si>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</si>
  <si>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</si>
  <si>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</si>
  <si>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</si>
  <si>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</si>
  <si>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</si>
  <si>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</si>
  <si>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</si>
  <si>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</si>
  <si>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</si>
  <si>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</si>
  <si>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</si>
  <si>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</si>
  <si>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</si>
  <si>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</si>
  <si>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</si>
  <si>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</si>
  <si>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</si>
  <si>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</si>
  <si>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</si>
  <si>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</si>
  <si>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</si>
  <si>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</si>
  <si>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</si>
  <si>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</si>
  <si>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</si>
  <si>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</si>
  <si>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</si>
  <si>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</si>
  <si>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</si>
  <si>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</si>
  <si>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</si>
  <si>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</si>
  <si>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</si>
  <si>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</si>
  <si>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</si>
  <si>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</si>
  <si>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</si>
  <si>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</si>
  <si>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</si>
  <si>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</si>
  <si>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</si>
  <si>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</si>
  <si>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</si>
  <si>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</si>
  <si>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</si>
  <si>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</si>
  <si>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</si>
  <si>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</si>
  <si>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</si>
  <si>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</si>
  <si>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</si>
  <si>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</si>
  <si>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</si>
  <si>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</si>
  <si>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</si>
  <si>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</si>
  <si>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</si>
  <si>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</si>
  <si>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</si>
  <si>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</si>
  <si>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</si>
  <si>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</si>
  <si>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</si>
  <si>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</si>
  <si>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</si>
  <si>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</si>
  <si>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</si>
  <si>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</si>
  <si>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</si>
  <si>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</si>
  <si>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</si>
  <si>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</si>
  <si>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</si>
  <si>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</si>
  <si>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</si>
  <si>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</si>
  <si>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</si>
  <si>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</si>
  <si>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</si>
  <si>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</si>
  <si>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</si>
  <si>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</si>
  <si>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</si>
  <si>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</si>
  <si>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</si>
  <si>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</si>
  <si>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</si>
  <si>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</si>
  <si>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</si>
  <si>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</si>
  <si>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</si>
  <si>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</si>
  <si>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</si>
  <si>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</si>
  <si>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</si>
  <si>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</si>
  <si>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</si>
  <si>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</si>
  <si>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</si>
  <si>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</si>
  <si>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</si>
  <si>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</si>
  <si>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</si>
  <si>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</si>
  <si>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</si>
  <si>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</si>
  <si>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</si>
  <si>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</si>
  <si>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</si>
  <si>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</si>
  <si>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</si>
  <si>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</si>
  <si>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</si>
  <si>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</si>
  <si>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</si>
  <si>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</si>
  <si>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</si>
  <si>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</si>
  <si>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</si>
  <si>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</si>
  <si>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</si>
  <si>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</si>
  <si>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</si>
  <si>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</si>
  <si>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</si>
  <si>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</si>
  <si>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</si>
  <si>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</si>
  <si>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</si>
  <si>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</si>
  <si>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</si>
  <si>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</si>
  <si>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</si>
  <si>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</si>
  <si>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</si>
  <si>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</si>
  <si>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</si>
  <si>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</si>
  <si>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</si>
  <si>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</si>
  <si>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</si>
  <si>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</si>
  <si>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</si>
  <si>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</si>
  <si>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</si>
  <si>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</si>
  <si>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</si>
  <si>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</si>
  <si>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</si>
  <si>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</si>
  <si>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</si>
  <si>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</si>
  <si>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</si>
  <si>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</si>
  <si>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</si>
  <si>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</si>
  <si>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</si>
  <si>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</si>
  <si>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</si>
  <si>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</si>
  <si>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</si>
  <si>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</si>
  <si>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</si>
  <si>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</si>
  <si>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</si>
  <si>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</si>
  <si>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</si>
  <si>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</si>
  <si>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</si>
  <si>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</si>
  <si>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</si>
  <si>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</si>
  <si>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</si>
  <si>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</si>
  <si>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</si>
  <si>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</si>
  <si>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</si>
  <si>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</si>
  <si>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</si>
  <si>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</si>
  <si>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</si>
  <si>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</si>
  <si>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</si>
  <si>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</si>
  <si>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</si>
  <si>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</si>
  <si>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</si>
  <si>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Messages Tested</t>
  </si>
  <si>
    <t>Translation PASS</t>
  </si>
  <si>
    <t>Validation PASS</t>
  </si>
  <si>
    <t>Accuracy YES</t>
  </si>
  <si>
    <t>Critical</t>
  </si>
  <si>
    <t>Major</t>
  </si>
  <si>
    <t>Minor</t>
  </si>
  <si>
    <t>SPECI</t>
  </si>
  <si>
    <t>TAF</t>
  </si>
  <si>
    <t>SIGMET</t>
  </si>
  <si>
    <t>TOTAL</t>
  </si>
  <si>
    <t>Purpose</t>
  </si>
  <si>
    <t>Familiarisation and basic functionality</t>
  </si>
  <si>
    <t>Operational parallel testing</t>
  </si>
  <si>
    <t>Week 3</t>
  </si>
  <si>
    <t>Error testing and final evaluation</t>
  </si>
  <si>
    <t>T001(EXAMPLE-See Instructions Sheet)</t>
  </si>
  <si>
    <t>SAGY31 SYCJ 081700
METAR SYCJ 081700Z 36006KT 280V010 9999 FEW018CB BKN022 33/24 Q1012 NOSIG RMK CB SSE-N=</t>
  </si>
  <si>
    <t>FAIL</t>
  </si>
  <si>
    <t>NO</t>
  </si>
  <si>
    <t>MAJOR</t>
  </si>
  <si>
    <t>SAME RESULT</t>
  </si>
  <si>
    <t>SAGY31 SYCJ 081600
METAR SYCJ 081600Z 09010KT 360V100 9999 VCSH FEW018CB BKN019 BKN100 33/24 Q1013 NOSIG RMK CB SW-N VCSH W=</t>
  </si>
  <si>
    <t>UNCERTAIN</t>
  </si>
  <si>
    <t>The converter rejected the SYCJ 081600Z METAR because VCSH was identified as an invalid present-weather token. No IWXXM output was generated.</t>
  </si>
  <si>
    <t>SAGY31 SYCJ 081300
METAR SYCJ 081300Z VRB02KT 9999 SCT018 BKN100 31/26 Q1015 NOSIG=</t>
  </si>
  <si>
    <t>SAGY31 SYCJ 080200
METAR SYCJ 080200Z 05004KT 9999 FEW016 26/25 Q1013 NOSIG=</t>
  </si>
  <si>
    <t xml:space="preserve">METAR converted to IWXXM and core meteorological elements were represented. IWXXM validation returned “Invalid – IWXXM 2025-2” with AIRPORT_ICAO and TAC_SYNTAX failures. Generated issue/observation time was 2023-06-08T17:00Z while the bulletin identifier contained 20260908170000. </t>
  </si>
  <si>
    <t>METAR converted successfully and core meteorological elements were accurately represented in IWXXM. Validation returned “Invalid – IWXXM 2025-2” with AIRPORT_ICAO and TAC_SYNTAX failures. IWXXM issue/observation time was 2023-06-08T13:00Z while the bulletin identifier contained 20260908130000. Similar date/validation behaviour was observed in T001.</t>
  </si>
  <si>
    <t>METAR-1-IWXXM-CONVERT
METAR-1-IWXXM-VALIDATE</t>
  </si>
  <si>
    <t>METAR-2-IWXXM-CONVERT</t>
  </si>
  <si>
    <t>METAR-3-IWXXM-CONVERT
METAR-3-IWXXM-VALIDATE</t>
  </si>
  <si>
    <t>METAR converted successfully and all core meteorological elements were accurately represented in IWXXM. Validation returned “Invalid – IWXXM 2025-2” with AIRPORT_ICAO and TAC_SYNTAX failures. IWXXM issue/observation time was generated as 2023-06-08T02:00Z while the bulletin identifier contained 20260908020000. This repeats the date/validation behaviour observed in previous METAR tests.</t>
  </si>
  <si>
    <t>METAR-4-IWXXM-CONVERT
METAR-4-IWXXM-VALIDATE</t>
  </si>
  <si>
    <t>SAGY31 SYCJ 072000
METAR SYCJ 072000Z 07012KT 9999 SCT020 32/25 Q1010 NOSIG=</t>
  </si>
  <si>
    <t>METAR converted successfully and the core meteorological elements were accurately represented in IWXXM. Validation returned “Invalid – IWXXM 2025-2” with AIRPORT_ICAO and TAC_SYNTAX failures. The generated IWXXM issue/observation time was 2023-06-07T20:00Z, while the bulletin identifier contained 20260907200000. This repeats the validation and date behaviour identified in previous METAR tests.</t>
  </si>
  <si>
    <t>METAR-5-IWXXM-CONVERT
METAR-5-IWXXM-VALIDATE</t>
  </si>
  <si>
    <t>SAGY31 SYCJ 071000
METAR SYCJ 071000Z 00000KT 7000 FEW018 25/25 Q1012 NOSIG=</t>
  </si>
  <si>
    <t>METAR converted successfully with the principal meteorological elements represented in IWXXM. Validation returned “Invalid – IWXXM 2025-2” with AIRPORT_ICAO and TAC_SYNTAX failures. The generated issue/observation time was 2023-06-07T10:00Z while the bulletin identifier contained 20260907100000, reproducing the previously identified date discrepancy. Calm wind (00000KT) was represented as mean wind direction 0° and mean wind speed 0 kt and should be verified against the applicable IWXXM 2025-2 encoding requirements.</t>
  </si>
  <si>
    <t>METAR-6-IWXXM-CONVERT
METAR-6-IWXXM-VALIDATE</t>
  </si>
  <si>
    <t>SAGY31 SYCJ 050600
METAR SYCJ 050600Z COR 10004KT 9999 FEW014 25/25 Q1011 NOSIG=</t>
  </si>
  <si>
    <t>The application labels the product “Invalid — IWXXM 2025-2”. Separately, the generated product exhibits a date inconsistency, and the TAC COR modifier appears not to be reflected in the generated IWXXM report status.</t>
  </si>
  <si>
    <t>SAGY31 SYCJ 051000
METAR SYCJ 051000Z 00000KT 0700 FG BKN001 23/23 Q1012 NOSIG=</t>
  </si>
  <si>
    <t>The converter successfully encoded and subsequently decoded the METAR containing calm wind, 700 m prevailing visibility, fog (FG), BKN cloud at 100 ft, temperature/dew point, QNH and NOSIG without apparent loss of the meteorological information. However, a significant temporal inconsistency remains: issueTime and observationTime are encoded as 2023-06-05T10:00:00Z, whereas the bulletin identifier contains 20260905100000. The validation interface additionally reports AIRPORT_ICAO and TAC_SYNTAX failures despite successfully identifying SYCJ and decoding the IWXXM content.</t>
  </si>
  <si>
    <t>SATD31 TTPP 080020
SPECI TTPP 080020Z 11003KT 7000 FEW015 28/22 Q1014 NOSIG=</t>
  </si>
  <si>
    <t>NOT TESTED</t>
  </si>
  <si>
    <t>The application successfully decodes the SPECI report SPECI TTPP 080020Z 11003KT 7000 FEW015 28/22 Q1014 NOSIG= but treats the supplied abbreviated heading SATD31 TTPP 080020 as residual text and subsequently rejects conversion with the message “The abbreviated heading is not valid.”</t>
  </si>
  <si>
    <t>SPECI-1-IWXXM-CONVERT</t>
  </si>
  <si>
    <t>METAR-7-IWXXM-CONVERT
METAR-7-IWXXM-VALIDATE</t>
  </si>
  <si>
    <t>METAR-8-IWXXM-CONVERT
METAR-8-IWXXM-VALIDATE</t>
  </si>
  <si>
    <t>SAAT31 TUPJ 071734
SPECI TUPJ 071734Z 12007KT 10SM TS VCSH FEW012CB SCT017 30/25 A3000 RMK Q1015 VIS16KM=</t>
  </si>
  <si>
    <t>This test reveals two separate issues: the bulletin/AHL problem is still preventing conversion, and the SPECI decoder is also leaving legitimate weather information as residuals.</t>
  </si>
  <si>
    <t>SPECI-2-IWXXM-CONVERT</t>
  </si>
  <si>
    <t>SABR31 TBPB 081538
SPECI TBPB 081538Z 07015KT 9999 -SHRA VCSH SCT010CB SCT014 28/26 Q1015 RETSRA NOSIG=</t>
  </si>
  <si>
    <t>This test confirms the same AHL parsing failure, while also exposing two missing SPECI weather groups in the decoder.</t>
  </si>
  <si>
    <t>SPECI-3-IWXXM-CONVERT</t>
  </si>
  <si>
    <t>FTCA31 TTPP 081600
TAF TTPP 081600Z 0818/0918 10012KT 9999 SCT022 BECMG 0900/0902 08005KT FEW018 SCT040    PROB40 TEMPO VRB10G20KT 7000 SHRA FEW012CB BKN015 BECMG 0912/0914 12014KT SCT016 SCT045=</t>
  </si>
  <si>
    <t>PROB40 TEMPO incorrectly encoded. The TAC contains PROB40 TEMPO VRB10G20KT 7000 SHRA FEW012CB BKN015, but the generated IWXXM does not preserve this as a separate PROB40/TEMPO change forecast. Instead, 7000 m, SHRA, FEW012CB and BKN015 are incorrectly incorporated into the preceding BECMG 0900/0902 forecast. The VRB10G20KT wind is also missing from the generated change forecast. Validation additionally reports AIRPORT_ICAO and TAC_SYNTAX.</t>
  </si>
  <si>
    <t>FTCA31 TTPP 081600
TAF TTCP 081600Z 0818/0918 10014KT 9999 SCT022 BECMG 0900/0902 08008KT FEW015 SCT040     TEMPO VRB12G22KT 6000 SHRA FEW012CB BKN015 BECMG 0912/0914 12015KT SCT016 SCT045=</t>
  </si>
  <si>
    <t>TAF TEMPO change group is recognized by the TAC parser but incorrectly encoded during IWXXM generation. TEMPO conditions (VRB12G22KT 6000 SHRA FEW012CB BKN015) are merged into the preceding BECMG group; the TEMPO change forecast is absent and the TEMPO variable/gusting wind is lost. Generated IWXXM therefore does not faithfully represent the source TAC. Validation also fails AIRPORT_ICAO and TAC_SYNTAX.</t>
  </si>
  <si>
    <t>FTCA32 KWBC 081100
TAF TUPJ 081100Z 0812/0912 09011KT 9999 SCT019 TEMPO 0902/0912 SHRA FEW012CB BKN014 BKN035 PROB40 TEMPO 0904/0910 4500 TSRA=</t>
  </si>
  <si>
    <t>TAC contains PROB40 TEMPO 0904/0910 4500 TSRA, but the second IWXXM change forecast is encoded only as TEMPORARY_FLUCTUATIONS; the 40% probability is not represented. Validator also reports AIRPORT_ICAO and TAC_SYNTAX failures.</t>
  </si>
  <si>
    <t>FTCA31 MKJP 081500
TAF MZBZ 081500Z 0818/0918 12008KT 9999 SCT024=</t>
  </si>
  <si>
    <t>YES</t>
  </si>
  <si>
    <t>The actual TAF translation itself appears correct. The problem is the validation stage, not the meteorological conversion. Therefore, I would not mark “TAC vs IWXXM Accurate?” as NO for this test. The IWXXM correctly carries the TAF information, but the system still returns Invalid — IWXXM 2025-2 because AIRPORT_ICAO and TAC_SYNTAX failed.</t>
  </si>
  <si>
    <t>WSCA31 TTPP 251435 
TTZP SIGMET 3 VALID 251435/251835 TTPP- TTZP PIARCO FIR EMBD TS OBS AT 1410Z WI N1800 W05406 - N1800 W05039 - N1031 W05542 - N1316 W05936 - N1800 W05406 TOP ABV FL380 STNR DECR=</t>
  </si>
  <si>
    <t>TAC specifies DECR (decreasing intensity), but generated IWXXM encodes intensityChange="NO_CHANGE". Other key elements including EMBD TS, OBS time, polygon coordinates, sequence number and validity period are represented. Validator also reports AIRPORT_ICAO and TAC_SYNTAX failures.</t>
  </si>
  <si>
    <t>WSCA31 TTPP 261150
TTZP SIGMET 1 VALID 261150/261550 TTPP-
TTZP PIARCO FIR EMBD TS OBS AT 1145Z WI N1800 W05839 - N1800 W05450 - N1635 W05450 - N1635 W05839 - N1800 W05839 TOP ABV FL310 MOV NW 15KT WKN =</t>
  </si>
  <si>
    <t>TAC specifies TOP ABV FL310, MOV NW 15KT, and WKN. The IWXXM correctly encodes the weakening trend as intensityChange="WEAKEN" and correctly represents the polygon, phenomenon and observation time. However, the generated IWXXM does not encode the TOP ABV FL310 vertical extent or MOV NW 15KT movement. Validator also reports AIRPORT_ICAO and TAC_SYNTAX failures.</t>
  </si>
  <si>
    <t>WCCA31 TTPP 141815
TTZP SIGMET A4 VALID 141815/142145 TTPP-
TTZP PIARCO FIR CNL SIGMET A3 VALID
141545/142145 RMK: TC LORENZO MOV TO KZWY FIR=</t>
  </si>
  <si>
    <t>System rejected the cancellation SIGMET and returned “No TAC reports found after the abbreviated heading.” The AHL WCCA31 TTPP 141815 was entered, followed by a SIGMET cancellation message, but the converter failed to recognize the SIGMET as a TAC report. Consequently, no IWXXM was generated and TAC-to-IWXXM accuracy could not be validated.</t>
  </si>
  <si>
    <t>WSAZ31 LPMG 182021
LPPO SIGMET T03 VALID 182030/190030 LPPT-
LPPO SANTA MARIA OCEANIC FIR EMBD TS FCST WI N3514 W01656 - N3529
W01758 - N3845 W01616 - N3726 W01525 - N3628 W01526 - N3514 W01656
TOP FL380 MOV SW 25KT NC=</t>
  </si>
  <si>
    <t>System returned “No TAC reports found after the abbreviated heading.” The AHL WSAZ31 LPMG 182021 was entered followed by the SIGMET, but the converter failed to recognize the TAC report. Therefore, no IWXXM output was generated for comparison or validation.</t>
  </si>
  <si>
    <t>SAGY31 SYCJ 260000
METAR SYCJ 260000Z 05004KT 9999 FEW018 27/26 Q1011 NOSIG=</t>
  </si>
  <si>
    <t>TAC-to-IWXXM translation is meteorologically accurate: SYCJ, observation time, wind 050°/4 kt, visibility 9999 m, FEW018, temperature 27°C, dewpoint 26°C, QNH 1011 hPa and NOSIG are represented. However, validation returns Invalid — IWXXM 2025-2, with AIRPORT_ICAO and TAC_SYNTAX failures.</t>
  </si>
  <si>
    <t>SAGY31 SYCJ 260100
METAR SYCJ 260100Z VRB02KT 9999 FEW018 27/26 Q1012 NOSIG=</t>
  </si>
  <si>
    <t>TAC-to-IWXXM translation is accurate. VRB02KT is correctly represented by variableWindDirection="true" with mean wind speed 2 kt and no fixed wind direction. Visibility 9999 m, FEW018, temperature 27°C, dewpoint 26°C, QNH 1012 hPa and NOSIG are also represented. However, validation returns Invalid — IWXXM 2025-2, failing AIRPORT_ICAO and TAC_SYNTAX.</t>
  </si>
  <si>
    <t>SAGY31 SYCJ 260200
METAR SYCJ 260200Z VRB02KT 9000 FEW018 27/26 Q1012 NOSIG=</t>
  </si>
  <si>
    <t>TAC-to-IWXXM translation is accurate. VRB02KT is correctly encoded with variableWindDirection="true" and mean wind speed 2 kt. Visibility 9000 m, FEW018, temperature 27°C, dewpoint 26°C, QNH 1012 hPa and NOSIG are correctly represented. However, validation returns Invalid — IWXXM 2025-2, failing AIRPORT_ICAO and TAC_SYNTAX.</t>
  </si>
  <si>
    <t>SAGY31 SYCJ 260300
METAR SYCJ 260300Z VRB02KT 9000 FEW018 27/26 Q1012 NOSIG=</t>
  </si>
  <si>
    <t>SAGY31 SYCJ 260300
METAR SYCJ 260800Z COR VRB02KT 0900 FG BKN001 24/24 Q1011 NOSIG=</t>
  </si>
  <si>
    <t>The main meteorological elements are correctly encoded: VRB02KT → variable wind at 2 kt; 0900 → 900 m; FG → fog; BKN001 → BKN at 100 ft; 24/24 → 24°C/24°C; QNH 1011 hPa; and NOSIG is represented. However, the source TAC is a corrected METAR (COR), while the IWXXM has reportStatus="NORMAL". The bulletin identifier also contains 260300 although the report/issue time is 260800Z. Validation additionally fails AIRPORT_ICAO and TAC_SYNTAX.</t>
  </si>
  <si>
    <t>SAGY31 SYCJ 261600
METAR SYCJ 261600Z 02006KT 9999 BKN021 34/25 Q1012 NOSIG=</t>
  </si>
  <si>
    <t>TAC-to-IWXXM translation is accurate. Wind 02006KT is correctly encoded as 020° at 6 kt; 9999 visibility is represented as 9999 m with ABOVE operator; BKN021 is correctly encoded as BKN at 2,100 ft; temperature/dewpoint are 34°C/25°C; QNH is 1012 hPa; and NOSIG is represented. However, validation returns Invalid — IWXXM 2025-2, failing AIRPORT_ICAO and TAC_SYNTAX.</t>
  </si>
  <si>
    <t>SAGY31 SYCJ 261029
SPECI SYCJ 261029Z VRB02KT 3000 BR FEW014 25/24 Q1012 NOSIG=</t>
  </si>
  <si>
    <t>SPECI content was decoded correctly: variable wind at 2 kt, visibility 3000 m, mist, FEW at 1,400 ft, temperature/dewpoint 25°C/24°C, QNH 1012 hPa and NOSIG. However, conversion stopped because the AHL SAGY31 SYCJ 261029 was rejected as an invalid abbreviated heading. The system reports: “The abbreviated heading is not valid. Use TTAAii CCCC YYGGgg (optional BBB), then one or more TAC reports.” No IWXXM output was produced for validation.</t>
  </si>
  <si>
    <t>SAGY31 SYCJ 251624
SPECI SYCJ 251624Z 31002KT 9000 -TSRA FEW015CB BKN016 27/26 Q1013 RESHRA NOSIG RMK CB SW-E=</t>
  </si>
  <si>
    <t>Core SPECI elements were decoded correctly, including wind, visibility, -TSRA, FEW015CB, BKN016, temperature/dewpoint, QNH and NOSIG. However, RESHRA and CB SW-E remained undecoded residuals. In addition, the AHL SAGY31 SYCJ 251624 was rejected as invalid, causing conversion to stop before IWXXM generation.</t>
  </si>
  <si>
    <t>SAGY31 SYCJ 251244
SPECI SYCJ 251244Z VRB02KT 9999 TS VCSH FEW015CB BKN016 28/26 Q1013 NOSIG RMK CB &amp; VCSH SE-SW=</t>
  </si>
  <si>
    <t>Core SPECI elements were decoded correctly, including VRB02KT, visibility, FEW015CB, BKN016, temperature/dewpoint, QNH and NOSIG. However, TS VCSH was not decoded, and CB &amp; VCSH SE-SW remained an undecoded remark/residual. The AHL SAGY31 SYCJ 251244 was also rejected as invalid, preventing conversion and IWXXM generation.</t>
  </si>
  <si>
    <t>FTGY31 SYCJ 261700
TAF SYCJ 261700Z 2718/2818 05006KT 9999 BKN022  
BECMG 2622/2700 VRB02KT 9999 FEW018
TEMPO 2707/2710 00000KT 0700 FG BKN004
BECMG 2711/2713 10010KT 9999 FEW019CB SCT021=</t>
  </si>
  <si>
    <t>TAF and all three change groups were generated in IWXXM. However, TAC VRB02KT in the first BECMG group was incorrectly encoded as variable wind with meanWindSpeed 0.0 m/s, instead of 2 kt. The validator also returned Invalid — IWXXM 2025-2, failing AIRPORT_ICAO and TAC_SYNTAX.</t>
  </si>
  <si>
    <t>FTGY31 SYCJ 262300
TAF SYCJ 262300Z 2700/2724 VRB02KT 9999 FEW018
TEMPO 2707/2710 00000KT 0700 FG BKN004
BECMG 2711/2713 10010KT 9999 FEW019CB SCT021=</t>
  </si>
  <si>
    <t>TAC VRB02KT is incorrectly converted to 0.0 m/s. Other forecast/change-group elements are substantially represented correctly. Validator also reports AIRPORT_ICAO and TAC_SYNTAX failures.</t>
  </si>
  <si>
    <t>FTGY31 SYCJ 261100
TAF SYCJ 261100Z 2612/2712 10008KT 070V130 9999 SCT020 SCT100
TEMPO 2616/2620 8000 TS VCSH FEW017CB SCT038
BECMG 2700/2703 05006KT 9999 FEW018 SCT100=</t>
  </si>
  <si>
    <t>Base wind, visibility, cloud, TEMPO timing/clouds and BECMG group were converted; however, 070V130 variable wind-direction range and TS VCSH weather in the TEMPO group are missing from the IWXXM. Validator also reports AIRPORT_ICAO and TAC_SYNTAX failures.</t>
  </si>
  <si>
    <t>FTGY31 SYCJ 260500
TAF SYCJ 260500Z 2606/2706 VRB04KT 2000 BR SCT003
BECMG 2611/2613 10008KT 070V130 9999 SCT020 BKN100
TEMPO 2617/2622 8000 TS VCSH FEW016CB BKN036
BECMG 2700/2703 06006KT 9999 SCT017=</t>
  </si>
  <si>
    <t>Base VRB04KT is incorrectly encoded as 0.0 m/s; base BR is omitted; 070V130 is omitted from the first BECMG group; and TS VCSH is omitted from the TEMPO group. Remaining principal visibility/cloud/change-period elements are represented. Validator also reports AIRPORT_ICAO and TAC_SYNTAX.</t>
  </si>
  <si>
    <t>TAC decoder successfully recognizes the SIGMET validity period, FIR, ISOL EMBD TS, OBS time, polygon coordinates, TOP FL400, MOV W and NC. However, conversion stops with “No TAC reports found after the abbreviated heading.” No IWXXM output is generated for validation or TAC-to-IWXXM comparison.</t>
  </si>
  <si>
    <t>WSGY31 SYCJ 251324
SYGC SIGMET A1 VALID 251324/251724 SYCJ -
SYGC GEORGETOWN FIR ISOL EMBD TS OBS AT 1320Z WI N0704 W05828 - N0647 W05802 - N0652 W05720 - N0612 W05716 - N0545 W05800 - N0620 W05855 - N0704 W05828 TOP FL400 MOV W NC=</t>
  </si>
  <si>
    <t>WSGY31 SYCJ 251513
SYGC SIGMET A2 VALID 251513/251913 SYCJ -
SYGC GEORGETOWN FIR ISOL EMBD TS OBS AT 1505Z WI N0745 W05852 - N0658 W05714 - N0626 W05704 - N0547 W05748 - N0657 W05939 - N0745 W05852 TOP FL500 MOV W-NW NC=</t>
  </si>
  <si>
    <t>TAC decoder recognizes the validity period, FIR, ISOL EMBD TS, OBS time, polygon coordinates, TOP FL500, MOV and NC; however, W-NW is left as a residual and is not decoded as the movement direction. Conversion then fails with “No TAC reports found after the abbreviated heading.” No IWXXM output is generated for validation or TAC-to-IWXXM comparison.</t>
  </si>
  <si>
    <t>WSGY31 SYCJ 251740
SYGC SIGMET A3 VALID 251740/252140 SYCJ -
SYGC GEORGETOWN FIR EMBD TS OBS AT 1735Z WI N0823 W05945 - N0739 W05848 - N0700 W05914 - N0548 W05739 - N0528 W05756 - N0728 W06038 - N0823 W05945 TOP FL560 MOV W-NW NC=</t>
  </si>
  <si>
    <t>TAC decoder recognizes validity period, FIR, EMBD TS, OBS time, polygon coordinates, TOP FL560, MOV and NC; however, W-NW is not decoded as the movement direction and remains residual. GEORGETOWN also remains residual. Conversion then fails with “No TAC reports found after the abbreviated heading.” No IWXXM output is generated for validation or TAC-to-IWXXM comparison.</t>
  </si>
  <si>
    <t>SAGY31 SYCJ 270100
METAR SYCJ 270100Z VRB02KT 9999 FEW018 27/25 Q1012 NOSIG=</t>
  </si>
  <si>
    <t xml:space="preserve">SAGY31 SYCJ 270000
METAR SYCJ 270000Z VRB02KT 9999 FEW018 27/25 Q1012 NOSIG=
</t>
  </si>
  <si>
    <t>Three issues occur: the AIRPORT_ICAO failure, the TAC_SYNTAX failure, and the 2023 vs 2026 timestamp inconsistency.</t>
  </si>
  <si>
    <t>SAGY31 SYCJ 270300
METAR SYCJ 270300Z 00000KT 5000 BR FEW016 26/25 Q1012 NOSIG=</t>
  </si>
  <si>
    <t>SAGY31 SYCJ 270800
METAR SYCJ 270800Z 00000KT 0700 FU BKN002 24/24 Q1011 NOSIG=</t>
  </si>
  <si>
    <t>Recurring defects now remain very consistent: AIRPORT_ICAO, TAC_SYNTAX, and the 2023 vs 2026 timestamp discrepancy.</t>
  </si>
  <si>
    <t>The application explicitly reports AIRPORT_ICAO and TAC_SYNTAX. The 2023/2026 year discrepancy is also now confirmed again remain Major defect.</t>
  </si>
  <si>
    <t xml:space="preserve">SAGY31 SYCJ 291100
METAR SYCJ 291100Z VRB02KT 9999 VCSH SCT019 25/25 Q1011 NOSIG RMK VCSH SW-NW=
</t>
  </si>
  <si>
    <t>VCSH was rejected as INVALID_WEATHER and appears under Residuals, so the source TAC was not fully translated. The remarks VCSH SW-NW were also residual/not decoded. The system additionally reports NOSIG_PRESENT and WIND_VRB_OR_GUST as informational messages. Because no completed IWXXM representation is shown, TAC-to-IWXXM equivalence cannot be confirmed for this report.</t>
  </si>
  <si>
    <t xml:space="preserve">SAGY31 SYCJ 291200
METAR SYCJ 291200Z VRB02KT 9999 -SHRA SCT019 SCT038 27/26 Q1012 NOSIG=
</t>
  </si>
  <si>
    <t>A useful comparison with T040 is that the converter rejected VCSH, but here it successfully recognizes and converts -SHRA into the IWXXM present-weather element. This helps narrow the weather-code handling defect specifically toward the vicinity-weather processing rather than precipitation/weather decoding generally.</t>
  </si>
  <si>
    <t>NOSIG - no significant change and RMK CB NNE-E, SE, WSW is not represented in the IWXXM. Critical recurring temporal defect: IWXXM issueTime and observationTime are 2023-06-29T13:00:00Z, while the bulletin identifier is dated 20260929130000. Validation reports AIRPORT_ICAO and TAC_SYNTAX.</t>
  </si>
  <si>
    <t xml:space="preserve">SAGY31 SYCJ 291300
METAR SYCJ 291300Z 00000KT 9999 FEW019CB BKN020 29/26 Q1012 NOSIG RMK CB NNE-E, SE, WSW=
</t>
  </si>
  <si>
    <t>330V090 is recognized by lint as WIND_DIR_VARIATION but remains undecoded/residual. VCSH is rejected as INVALID_WEATHER. The remarks CB S-SW, W-ENE, VCSH E-SE also remain residual.</t>
  </si>
  <si>
    <t>SAGY31 SYCJ 291400
METAR SYCJ 291400Z 01004KT 330V090 9999 VCSH FEW019CB SCT090 32/27 Q1012 NOSIG RMK CB S-SW, W-ENE, VCSH E-SE=</t>
  </si>
  <si>
    <t>TAF SYCJ 282300Z 2900/2924 06006KT 9999 FEW018
         PROB30 TEMPO 2906/2910 3000 BR
         BECMG 2912/2914 06010KT 9999 VCSH BKN018 BKN040
         TEMPO 2916/2920 7000 TS VCSH FEW017CB BKN090=</t>
  </si>
  <si>
    <t>IWXXM validation failed; generated report also uses incorrect 2023 dates.</t>
  </si>
  <si>
    <t>TAF SYCJ 291100Z 2912/3012 08010KT 8000 VCSH SHRA FEW018TCU BKN020
          TEMPO 2916/2920 TS VCSH FEW015CB BKN036
         BECMG 3000/3003 06004KT 9999 SCT017 SCT100=</t>
  </si>
  <si>
    <t>The key defect is that the source TAF contains 8000 VCSH SHRA, but the generated IWXXM retains 8000 m visibility and does not encode either VCSH or SHRA. The wind and cloud information, including FEW018TCU BKN020, were carried across correctly.</t>
  </si>
  <si>
    <t>SAGY31 SWWW 291400
METAR SWWW 291400Z 01004KT 330V090 9999 VCSH FEW019CB SCT090 32/27 Q1012 NOSIG RMK CB S-SW, W-ENE, VCSH E-SE=</t>
  </si>
  <si>
    <t>Invalid ICAO station ABCD accepted without validation.</t>
  </si>
  <si>
    <t>SAGY31 SYCJ 291400
METAR SYCJ 291400Z 01004KT VCSH FEW019CB SCT090 32/27 Q1012 NOSIG RMK CB S-SW, W-ENE, VCSH E-SE=</t>
  </si>
  <si>
    <t>The important finding here is that the system correctly detects the missing visibility, but if it still permits conversion despite the two [error] conditions.</t>
  </si>
  <si>
    <t>TAF SYCJ 291100Z 08010KT 8000 VCSH SHRA FEW018TCU BKN020
          TEMPO 2916/2920 TS VCSH FEW015CB BKN036
         BECMG 3000/3003 06004KT 9999 SCT017 SCT100=</t>
  </si>
  <si>
    <t>Missing validity period detected; continuation lines incorrectly parsed as separate TAF reports</t>
  </si>
  <si>
    <t>Invalid — IWXXM 2025-2, Failed: AIRPORT_ICAO, TAC_SYNTAX
Also, the XML still generates 2023-06-29/2023-06-30 rather than the current 2026 dates. And two change groups taken out not recognized.</t>
  </si>
  <si>
    <t>TAF SYCJ 291100Z 2912/3012 08010KT 8000 VCSH SHRA FEW018TCU BKN020
2916/2920 TS VCSH FEW015CB BKN036
 3000/3003 06004KT 9999 SCT017 SCT100=</t>
  </si>
  <si>
    <t>T049A
T049B</t>
  </si>
  <si>
    <t>T048A
T048B</t>
  </si>
  <si>
    <t xml:space="preserve">T047
</t>
  </si>
  <si>
    <t>T045A
T045B</t>
  </si>
  <si>
    <t>T044A
T044B</t>
  </si>
  <si>
    <t>T042A
T042B</t>
  </si>
  <si>
    <t>T041A
T041B</t>
  </si>
  <si>
    <t>T039A
T039B</t>
  </si>
  <si>
    <t>T038A
T038B</t>
  </si>
  <si>
    <t>T037A
T037B</t>
  </si>
  <si>
    <t>T036A
T036B</t>
  </si>
  <si>
    <t>T032A
T032B</t>
  </si>
  <si>
    <t>T031A
T031B</t>
  </si>
  <si>
    <t>T030A
T030B</t>
  </si>
  <si>
    <t>T029A
T029B</t>
  </si>
  <si>
    <t>T025A
T025B</t>
  </si>
  <si>
    <t>T024A
T024B</t>
  </si>
  <si>
    <t>T023A
T023B</t>
  </si>
  <si>
    <t>T022A
T022B</t>
  </si>
  <si>
    <t>T021A
T021B</t>
  </si>
  <si>
    <t>T020A
T020B</t>
  </si>
  <si>
    <t>T017A
T017B</t>
  </si>
  <si>
    <t>T016A
T016B</t>
  </si>
  <si>
    <t>T015A
T015B</t>
  </si>
  <si>
    <t>T014A
T014B</t>
  </si>
  <si>
    <t>T013A
T013B</t>
  </si>
  <si>
    <t>T012A
T012B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</si>
</sst>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name val="Cambria"/>
      <charset val="1"/>
    </font>
    <font>
      <b/>
      <sz val="11"/>
      <name val="Calibri"/>
    </font>
    <font>
      <b/>
      <sz val="11"/>
      <color rgb="FFFF0000"/>
      <name val="Calibri"/>
      <family val="2"/>
    </font>
  </fonts>
  <fills count="4">
    <fill>
      <patternFill patternType="none"/>
    </fill>
    <fill>
      <patternFill patternType="gray125"/>
    </fill>
    <fill>
      <patternFill patternType="solid">
        <fgColor rgb="FFD9EAF7"/>
        <bgColor rgb="FFCCFFFF"/>
      </patternFill>
    </fill>
    <fill>
      <patternFill patternType="solid">
        <fgColor rgb="FFD9EAF7"/>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0" fillId="0" borderId="0" xfId="0" applyAlignment="1">
      <alignment wrapText="1"/>
    </xf>
    <xf numFmtId="0" fontId="1" fillId="2" borderId="0" xfId="0" applyFont="1" applyFill="1" applyAlignment="1">
      <alignment wrapText="1"/>
    </xf>
    <xf numFmtId="0" fontId="2" fillId="3" borderId="0" xfId="0" applyFont="1" applyFill="1" applyAlignment="1">
      <alignment wrapText="1"/>
    </xf>
    <xf numFmtId="14" fontId="0" fillId="0" borderId="0" xfId="0" applyNumberFormat="1"/>
    <xf numFmtId="0" fontId="3" fillId="0" borderId="0" xfId="0" applyFont="1" applyAlignment="1">
      <alignment vertical="top" wrapText="1"/>
    </xf>
    <xf numFmtId="0" fontId="1" fillId="2" borderId="0" xfId="0" applyFont="1" applyFill="1" applyAlignment="1">
      <alignment horizont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zoomScaleNormal="100" workbookViewId="0">
      <selection activeCell="A8" sqref="A8"/>
    </sheetView>
  </sheetViews>
  <sheetFormatPr defaultColWidth="8.6640625" defaultRowHeight="15" customHeight="1" x14ac:dyDescent="0.3"/>
  <cols>
    <col min="1" max="1" width="110" customWidth="1"/>
  </cols>
  <sheetData>
    <row r="1" spans="1:1" ht="15" customHeight="1" x14ac:dyDescent="0.3">
      <c r="A1" s="1" t="s">
        <v>0</v>
      </c>
    </row>
    <row r="2" spans="1:1" ht="28.35" customHeight="1" x14ac:dyDescent="0.3">
      <c r="A2" s="2" t="s">
        <v>1</v>
      </c>
    </row>
    <row r="3" spans="1:1" ht="28.35" customHeight="1" x14ac:dyDescent="0.3">
      <c r="A3" s="2" t="s">
        <v>2</v>
      </c>
    </row>
    <row r="4" spans="1:1" ht="15" customHeight="1" x14ac:dyDescent="0.3">
      <c r="A4" s="2" t="s">
        <v>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1"/>
  <sheetViews>
    <sheetView tabSelected="1" topLeftCell="E1" zoomScaleNormal="100" workbookViewId="0">
      <pane ySplit="1" topLeftCell="A56" activePane="bottomLeft" state="frozen"/>
      <selection pane="bottomLeft" activeCell="G69" sqref="G69"/>
    </sheetView>
  </sheetViews>
  <sheetFormatPr defaultColWidth="8.6640625" defaultRowHeight="15" customHeight="1" x14ac:dyDescent="0.3"/>
  <cols>
    <col min="1" max="1" width="22.88671875" customWidth="1"/>
    <col min="2" max="2" width="12" customWidth="1"/>
    <col min="3" max="4" width="14" customWidth="1"/>
    <col min="5" max="5" width="32" customWidth="1"/>
    <col min="6" max="7" width="20" customWidth="1"/>
    <col min="8" max="8" width="25" customWidth="1"/>
    <col min="9" max="9" width="14" customWidth="1"/>
    <col min="10" max="10" width="42" customWidth="1"/>
    <col min="11" max="11" width="30" style="9" customWidth="1"/>
    <col min="12" max="12" width="20" customWidth="1"/>
  </cols>
  <sheetData>
    <row r="1" spans="1:12" ht="28.35" customHeight="1" x14ac:dyDescent="0.3">
      <c r="A1" s="3" t="s">
        <v>4</v>
      </c>
      <c r="B1" s="3" t="s">
        <v>5</v>
      </c>
      <c r="C1" s="3" t="s">
        <v>6</v>
      </c>
      <c r="D1" s="3" t="s">
        <v>7</v>
      </c>
      <c r="E1" s="3" t="s">
        <v>8</v>
      </c>
      <c r="F1" s="3" t="s">
        <v>9</v>
      </c>
      <c r="G1" s="3" t="s">
        <v>10</v>
      </c>
      <c r="H1" s="3" t="s">
        <v>11</v>
      </c>
      <c r="I1" s="3" t="s">
        <v>12</v>
      </c>
      <c r="J1" s="3" t="s">
        <v>13</v>
      </c>
      <c r="K1" s="7" t="s">
        <v>14</v>
      </c>
      <c r="L1" s="3" t="s">
        <v>15</v>
      </c>
    </row>
    <row r="2" spans="1:12" ht="30" customHeight="1" x14ac:dyDescent="0.3">
      <c r="A2" s="6" t="s">
        <v>335</v>
      </c>
      <c r="B2" t="s">
        <v>16</v>
      </c>
      <c r="C2" s="5">
        <v>46273</v>
      </c>
      <c r="D2" t="s">
        <v>17</v>
      </c>
      <c r="E2" s="2" t="s">
        <v>336</v>
      </c>
      <c r="F2" t="s">
        <v>18</v>
      </c>
      <c r="G2" t="s">
        <v>337</v>
      </c>
      <c r="H2" t="s">
        <v>338</v>
      </c>
      <c r="I2" t="s">
        <v>339</v>
      </c>
      <c r="J2" t="s">
        <v>346</v>
      </c>
      <c r="K2" s="8" t="s">
        <v>348</v>
      </c>
      <c r="L2" t="s">
        <v>340</v>
      </c>
    </row>
    <row r="3" spans="1:12" ht="15" customHeight="1" x14ac:dyDescent="0.3">
      <c r="A3" t="s">
        <v>19</v>
      </c>
      <c r="B3" t="s">
        <v>16</v>
      </c>
      <c r="C3" s="5"/>
      <c r="D3" t="s">
        <v>17</v>
      </c>
      <c r="E3" s="2" t="s">
        <v>341</v>
      </c>
      <c r="F3" t="s">
        <v>337</v>
      </c>
      <c r="G3" t="s">
        <v>337</v>
      </c>
      <c r="H3" t="s">
        <v>342</v>
      </c>
      <c r="J3" t="s">
        <v>343</v>
      </c>
      <c r="K3" s="9" t="s">
        <v>349</v>
      </c>
      <c r="L3" t="s">
        <v>340</v>
      </c>
    </row>
    <row r="4" spans="1:12" ht="15" customHeight="1" x14ac:dyDescent="0.3">
      <c r="A4" t="s">
        <v>21</v>
      </c>
      <c r="B4" t="s">
        <v>16</v>
      </c>
      <c r="D4" t="s">
        <v>17</v>
      </c>
      <c r="E4" s="2" t="s">
        <v>344</v>
      </c>
      <c r="F4" t="s">
        <v>18</v>
      </c>
      <c r="G4" t="s">
        <v>337</v>
      </c>
      <c r="H4" t="s">
        <v>338</v>
      </c>
      <c r="I4" t="s">
        <v>324</v>
      </c>
      <c r="J4" t="s">
        <v>347</v>
      </c>
      <c r="K4" s="8" t="s">
        <v>350</v>
      </c>
      <c r="L4" t="s">
        <v>340</v>
      </c>
    </row>
    <row r="5" spans="1:12" ht="15" customHeight="1" x14ac:dyDescent="0.3">
      <c r="A5" t="s">
        <v>22</v>
      </c>
      <c r="B5" t="s">
        <v>16</v>
      </c>
      <c r="D5" t="s">
        <v>17</v>
      </c>
      <c r="E5" s="2" t="s">
        <v>345</v>
      </c>
      <c r="F5" t="s">
        <v>18</v>
      </c>
      <c r="G5" t="s">
        <v>337</v>
      </c>
      <c r="H5" t="s">
        <v>338</v>
      </c>
      <c r="I5" t="s">
        <v>324</v>
      </c>
      <c r="J5" t="s">
        <v>351</v>
      </c>
      <c r="K5" s="8" t="s">
        <v>352</v>
      </c>
      <c r="L5" t="s">
        <v>340</v>
      </c>
    </row>
    <row r="6" spans="1:12" ht="15" customHeight="1" x14ac:dyDescent="0.3">
      <c r="A6" t="s">
        <v>23</v>
      </c>
      <c r="B6" t="s">
        <v>16</v>
      </c>
      <c r="D6" t="s">
        <v>17</v>
      </c>
      <c r="E6" s="2" t="s">
        <v>353</v>
      </c>
      <c r="F6" t="s">
        <v>18</v>
      </c>
      <c r="G6" t="s">
        <v>337</v>
      </c>
      <c r="H6" t="s">
        <v>338</v>
      </c>
      <c r="I6" t="s">
        <v>324</v>
      </c>
      <c r="J6" t="s">
        <v>354</v>
      </c>
      <c r="K6" s="8" t="s">
        <v>355</v>
      </c>
      <c r="L6" t="s">
        <v>340</v>
      </c>
    </row>
    <row r="7" spans="1:12" ht="15" customHeight="1" x14ac:dyDescent="0.3">
      <c r="A7" t="s">
        <v>24</v>
      </c>
      <c r="B7" t="s">
        <v>16</v>
      </c>
      <c r="D7" t="s">
        <v>17</v>
      </c>
      <c r="E7" s="2" t="s">
        <v>356</v>
      </c>
      <c r="F7" t="s">
        <v>18</v>
      </c>
      <c r="G7" t="s">
        <v>337</v>
      </c>
      <c r="H7" t="s">
        <v>338</v>
      </c>
      <c r="I7" t="s">
        <v>324</v>
      </c>
      <c r="J7" t="s">
        <v>357</v>
      </c>
      <c r="K7" s="8" t="s">
        <v>358</v>
      </c>
    </row>
    <row r="8" spans="1:12" ht="15" customHeight="1" x14ac:dyDescent="0.3">
      <c r="A8" t="s">
        <v>25</v>
      </c>
      <c r="B8" t="s">
        <v>16</v>
      </c>
      <c r="D8" t="s">
        <v>17</v>
      </c>
      <c r="E8" s="2" t="s">
        <v>359</v>
      </c>
      <c r="F8" t="s">
        <v>18</v>
      </c>
      <c r="G8" t="s">
        <v>337</v>
      </c>
      <c r="H8" t="s">
        <v>338</v>
      </c>
      <c r="I8" t="s">
        <v>324</v>
      </c>
      <c r="J8" t="s">
        <v>360</v>
      </c>
      <c r="K8" s="8" t="s">
        <v>367</v>
      </c>
    </row>
    <row r="9" spans="1:12" ht="15" customHeight="1" x14ac:dyDescent="0.3">
      <c r="A9" t="s">
        <v>26</v>
      </c>
      <c r="B9" t="s">
        <v>16</v>
      </c>
      <c r="D9" t="s">
        <v>17</v>
      </c>
      <c r="E9" s="2" t="s">
        <v>361</v>
      </c>
      <c r="F9" t="s">
        <v>18</v>
      </c>
      <c r="G9" t="s">
        <v>337</v>
      </c>
      <c r="H9" t="s">
        <v>338</v>
      </c>
      <c r="I9" t="s">
        <v>324</v>
      </c>
      <c r="J9" t="s">
        <v>362</v>
      </c>
      <c r="K9" s="8" t="s">
        <v>368</v>
      </c>
    </row>
    <row r="10" spans="1:12" ht="15" customHeight="1" x14ac:dyDescent="0.3">
      <c r="A10" t="s">
        <v>27</v>
      </c>
      <c r="B10" t="s">
        <v>16</v>
      </c>
      <c r="D10" t="s">
        <v>326</v>
      </c>
      <c r="E10" s="2" t="s">
        <v>363</v>
      </c>
      <c r="F10" t="s">
        <v>18</v>
      </c>
      <c r="G10" t="s">
        <v>364</v>
      </c>
      <c r="H10" t="s">
        <v>342</v>
      </c>
      <c r="I10" t="s">
        <v>324</v>
      </c>
      <c r="J10" t="s">
        <v>365</v>
      </c>
      <c r="K10" s="8" t="s">
        <v>366</v>
      </c>
    </row>
    <row r="11" spans="1:12" ht="15" customHeight="1" x14ac:dyDescent="0.3">
      <c r="A11" t="s">
        <v>28</v>
      </c>
      <c r="B11" t="s">
        <v>16</v>
      </c>
      <c r="D11" t="s">
        <v>326</v>
      </c>
      <c r="E11" s="2" t="s">
        <v>369</v>
      </c>
      <c r="F11" t="s">
        <v>18</v>
      </c>
      <c r="G11" t="s">
        <v>364</v>
      </c>
      <c r="H11" t="s">
        <v>342</v>
      </c>
      <c r="I11" t="s">
        <v>324</v>
      </c>
      <c r="J11" t="s">
        <v>370</v>
      </c>
      <c r="K11" s="8" t="s">
        <v>371</v>
      </c>
    </row>
    <row r="12" spans="1:12" ht="15" customHeight="1" x14ac:dyDescent="0.3">
      <c r="A12" t="s">
        <v>29</v>
      </c>
      <c r="B12" t="s">
        <v>16</v>
      </c>
      <c r="D12" t="s">
        <v>326</v>
      </c>
      <c r="E12" s="2" t="s">
        <v>372</v>
      </c>
      <c r="F12" t="s">
        <v>18</v>
      </c>
      <c r="G12" t="s">
        <v>364</v>
      </c>
      <c r="H12" t="s">
        <v>342</v>
      </c>
      <c r="I12" t="s">
        <v>324</v>
      </c>
      <c r="J12" t="s">
        <v>373</v>
      </c>
      <c r="K12" s="8" t="s">
        <v>374</v>
      </c>
    </row>
    <row r="13" spans="1:12" ht="15" customHeight="1" x14ac:dyDescent="0.3">
      <c r="A13" t="s">
        <v>30</v>
      </c>
      <c r="B13" t="s">
        <v>16</v>
      </c>
      <c r="D13" t="s">
        <v>327</v>
      </c>
      <c r="E13" s="2" t="s">
        <v>375</v>
      </c>
      <c r="F13" t="s">
        <v>18</v>
      </c>
      <c r="G13" t="s">
        <v>337</v>
      </c>
      <c r="H13" t="s">
        <v>338</v>
      </c>
      <c r="I13" t="s">
        <v>323</v>
      </c>
      <c r="J13" t="s">
        <v>376</v>
      </c>
      <c r="K13" s="10" t="s">
        <v>476</v>
      </c>
    </row>
    <row r="14" spans="1:12" ht="15" customHeight="1" x14ac:dyDescent="0.3">
      <c r="A14" t="s">
        <v>31</v>
      </c>
      <c r="B14" t="s">
        <v>16</v>
      </c>
      <c r="D14" t="s">
        <v>327</v>
      </c>
      <c r="E14" s="2" t="s">
        <v>377</v>
      </c>
      <c r="F14" t="s">
        <v>337</v>
      </c>
      <c r="G14" t="s">
        <v>337</v>
      </c>
      <c r="H14" t="s">
        <v>338</v>
      </c>
      <c r="I14" t="s">
        <v>323</v>
      </c>
      <c r="J14" t="s">
        <v>378</v>
      </c>
      <c r="K14" s="10" t="s">
        <v>475</v>
      </c>
    </row>
    <row r="15" spans="1:12" ht="15" customHeight="1" x14ac:dyDescent="0.3">
      <c r="A15" t="s">
        <v>32</v>
      </c>
      <c r="B15" t="s">
        <v>16</v>
      </c>
      <c r="D15" t="s">
        <v>327</v>
      </c>
      <c r="E15" s="2" t="s">
        <v>379</v>
      </c>
      <c r="F15" t="s">
        <v>337</v>
      </c>
      <c r="G15" t="s">
        <v>337</v>
      </c>
      <c r="H15" t="s">
        <v>338</v>
      </c>
      <c r="I15" t="s">
        <v>323</v>
      </c>
      <c r="J15" t="s">
        <v>380</v>
      </c>
      <c r="K15" s="10" t="s">
        <v>474</v>
      </c>
    </row>
    <row r="16" spans="1:12" ht="15" customHeight="1" x14ac:dyDescent="0.3">
      <c r="A16" t="s">
        <v>33</v>
      </c>
      <c r="B16" t="s">
        <v>16</v>
      </c>
      <c r="D16" t="s">
        <v>327</v>
      </c>
      <c r="E16" s="2" t="s">
        <v>381</v>
      </c>
      <c r="F16" t="s">
        <v>18</v>
      </c>
      <c r="G16" t="s">
        <v>337</v>
      </c>
      <c r="H16" t="s">
        <v>382</v>
      </c>
      <c r="I16" t="s">
        <v>323</v>
      </c>
      <c r="J16" t="s">
        <v>383</v>
      </c>
      <c r="K16" s="10" t="s">
        <v>473</v>
      </c>
    </row>
    <row r="17" spans="1:11" ht="15" customHeight="1" x14ac:dyDescent="0.3">
      <c r="A17" t="s">
        <v>34</v>
      </c>
      <c r="B17" t="s">
        <v>16</v>
      </c>
      <c r="D17" t="s">
        <v>328</v>
      </c>
      <c r="E17" s="2" t="s">
        <v>384</v>
      </c>
      <c r="F17" t="s">
        <v>337</v>
      </c>
      <c r="G17" t="s">
        <v>337</v>
      </c>
      <c r="H17" t="s">
        <v>338</v>
      </c>
      <c r="I17" t="s">
        <v>323</v>
      </c>
      <c r="J17" t="s">
        <v>385</v>
      </c>
      <c r="K17" s="10" t="s">
        <v>472</v>
      </c>
    </row>
    <row r="18" spans="1:11" ht="15" customHeight="1" x14ac:dyDescent="0.3">
      <c r="A18" t="s">
        <v>35</v>
      </c>
      <c r="B18" t="s">
        <v>16</v>
      </c>
      <c r="D18" t="s">
        <v>328</v>
      </c>
      <c r="E18" s="2" t="s">
        <v>386</v>
      </c>
      <c r="F18" t="s">
        <v>337</v>
      </c>
      <c r="G18" t="s">
        <v>337</v>
      </c>
      <c r="H18" t="s">
        <v>338</v>
      </c>
      <c r="I18" t="s">
        <v>323</v>
      </c>
      <c r="J18" t="s">
        <v>387</v>
      </c>
      <c r="K18" s="10" t="s">
        <v>471</v>
      </c>
    </row>
    <row r="19" spans="1:11" ht="15" customHeight="1" x14ac:dyDescent="0.3">
      <c r="A19" t="s">
        <v>36</v>
      </c>
      <c r="B19" t="s">
        <v>16</v>
      </c>
      <c r="D19" t="s">
        <v>328</v>
      </c>
      <c r="E19" s="2" t="s">
        <v>388</v>
      </c>
      <c r="F19" t="s">
        <v>337</v>
      </c>
      <c r="G19" t="s">
        <v>364</v>
      </c>
      <c r="H19" t="s">
        <v>338</v>
      </c>
      <c r="I19" t="s">
        <v>323</v>
      </c>
      <c r="J19" t="s">
        <v>389</v>
      </c>
      <c r="K19" s="10" t="s">
        <v>36</v>
      </c>
    </row>
    <row r="20" spans="1:11" ht="15" customHeight="1" x14ac:dyDescent="0.3">
      <c r="A20" t="s">
        <v>37</v>
      </c>
      <c r="B20" t="s">
        <v>16</v>
      </c>
      <c r="D20" t="s">
        <v>328</v>
      </c>
      <c r="E20" s="2" t="s">
        <v>390</v>
      </c>
      <c r="F20" t="s">
        <v>337</v>
      </c>
      <c r="G20" t="s">
        <v>364</v>
      </c>
      <c r="H20" t="s">
        <v>338</v>
      </c>
      <c r="I20" t="s">
        <v>323</v>
      </c>
      <c r="J20" t="s">
        <v>391</v>
      </c>
      <c r="K20" s="10" t="s">
        <v>37</v>
      </c>
    </row>
    <row r="21" spans="1:11" ht="15" customHeight="1" x14ac:dyDescent="0.3">
      <c r="A21" t="s">
        <v>38</v>
      </c>
      <c r="B21" t="s">
        <v>20</v>
      </c>
      <c r="C21" s="5">
        <v>46291</v>
      </c>
      <c r="D21" t="s">
        <v>17</v>
      </c>
      <c r="E21" s="2" t="s">
        <v>392</v>
      </c>
      <c r="F21" t="s">
        <v>18</v>
      </c>
      <c r="G21" t="s">
        <v>337</v>
      </c>
      <c r="H21" t="s">
        <v>382</v>
      </c>
      <c r="I21" t="s">
        <v>323</v>
      </c>
      <c r="J21" t="s">
        <v>393</v>
      </c>
      <c r="K21" s="10" t="s">
        <v>470</v>
      </c>
    </row>
    <row r="22" spans="1:11" ht="15" customHeight="1" x14ac:dyDescent="0.3">
      <c r="A22" t="s">
        <v>39</v>
      </c>
      <c r="B22" t="s">
        <v>20</v>
      </c>
      <c r="D22" t="s">
        <v>17</v>
      </c>
      <c r="E22" s="2" t="s">
        <v>394</v>
      </c>
      <c r="F22" t="s">
        <v>18</v>
      </c>
      <c r="G22" t="s">
        <v>337</v>
      </c>
      <c r="H22" t="s">
        <v>382</v>
      </c>
      <c r="I22" t="s">
        <v>323</v>
      </c>
      <c r="J22" t="s">
        <v>395</v>
      </c>
      <c r="K22" s="10" t="s">
        <v>469</v>
      </c>
    </row>
    <row r="23" spans="1:11" ht="15" customHeight="1" x14ac:dyDescent="0.3">
      <c r="A23" t="s">
        <v>40</v>
      </c>
      <c r="B23" t="s">
        <v>20</v>
      </c>
      <c r="D23" t="s">
        <v>17</v>
      </c>
      <c r="E23" s="2" t="s">
        <v>396</v>
      </c>
      <c r="F23" t="s">
        <v>18</v>
      </c>
      <c r="G23" t="s">
        <v>337</v>
      </c>
      <c r="H23" t="s">
        <v>382</v>
      </c>
      <c r="I23" t="s">
        <v>323</v>
      </c>
      <c r="J23" t="s">
        <v>397</v>
      </c>
      <c r="K23" s="10" t="s">
        <v>468</v>
      </c>
    </row>
    <row r="24" spans="1:11" ht="15" customHeight="1" x14ac:dyDescent="0.3">
      <c r="A24" t="s">
        <v>41</v>
      </c>
      <c r="B24" t="s">
        <v>20</v>
      </c>
      <c r="D24" t="s">
        <v>17</v>
      </c>
      <c r="E24" s="2" t="s">
        <v>398</v>
      </c>
      <c r="F24" t="s">
        <v>18</v>
      </c>
      <c r="G24" t="s">
        <v>337</v>
      </c>
      <c r="H24" t="s">
        <v>382</v>
      </c>
      <c r="I24" t="s">
        <v>323</v>
      </c>
      <c r="J24" t="s">
        <v>397</v>
      </c>
      <c r="K24" s="10" t="s">
        <v>467</v>
      </c>
    </row>
    <row r="25" spans="1:11" ht="15" customHeight="1" x14ac:dyDescent="0.3">
      <c r="A25" t="s">
        <v>42</v>
      </c>
      <c r="B25" t="s">
        <v>20</v>
      </c>
      <c r="D25" t="s">
        <v>17</v>
      </c>
      <c r="E25" s="2" t="s">
        <v>399</v>
      </c>
      <c r="F25" t="s">
        <v>18</v>
      </c>
      <c r="G25" t="s">
        <v>337</v>
      </c>
      <c r="H25" t="s">
        <v>338</v>
      </c>
      <c r="I25" t="s">
        <v>323</v>
      </c>
      <c r="J25" t="s">
        <v>400</v>
      </c>
      <c r="K25" s="10" t="s">
        <v>466</v>
      </c>
    </row>
    <row r="26" spans="1:11" ht="15" customHeight="1" x14ac:dyDescent="0.3">
      <c r="A26" t="s">
        <v>43</v>
      </c>
      <c r="B26" t="s">
        <v>20</v>
      </c>
      <c r="D26" t="s">
        <v>17</v>
      </c>
      <c r="E26" s="2" t="s">
        <v>401</v>
      </c>
      <c r="F26" t="s">
        <v>18</v>
      </c>
      <c r="G26" t="s">
        <v>337</v>
      </c>
      <c r="H26" t="s">
        <v>382</v>
      </c>
      <c r="I26" t="s">
        <v>323</v>
      </c>
      <c r="J26" t="s">
        <v>402</v>
      </c>
      <c r="K26" s="10" t="s">
        <v>465</v>
      </c>
    </row>
    <row r="27" spans="1:11" ht="15" customHeight="1" x14ac:dyDescent="0.3">
      <c r="A27" t="s">
        <v>44</v>
      </c>
      <c r="B27" t="s">
        <v>20</v>
      </c>
      <c r="D27" t="s">
        <v>326</v>
      </c>
      <c r="E27" s="2" t="s">
        <v>403</v>
      </c>
      <c r="F27" t="s">
        <v>337</v>
      </c>
      <c r="G27" t="s">
        <v>364</v>
      </c>
      <c r="H27" t="s">
        <v>342</v>
      </c>
      <c r="I27" t="s">
        <v>323</v>
      </c>
      <c r="J27" t="s">
        <v>404</v>
      </c>
      <c r="K27" s="10" t="s">
        <v>44</v>
      </c>
    </row>
    <row r="28" spans="1:11" ht="15" customHeight="1" x14ac:dyDescent="0.3">
      <c r="A28" t="s">
        <v>45</v>
      </c>
      <c r="B28" t="s">
        <v>20</v>
      </c>
      <c r="D28" t="s">
        <v>326</v>
      </c>
      <c r="E28" s="2" t="s">
        <v>405</v>
      </c>
      <c r="F28" t="s">
        <v>337</v>
      </c>
      <c r="G28" t="s">
        <v>364</v>
      </c>
      <c r="H28" t="s">
        <v>342</v>
      </c>
      <c r="I28" t="s">
        <v>323</v>
      </c>
      <c r="J28" t="s">
        <v>406</v>
      </c>
      <c r="K28" s="10" t="s">
        <v>45</v>
      </c>
    </row>
    <row r="29" spans="1:11" ht="15" customHeight="1" x14ac:dyDescent="0.3">
      <c r="A29" t="s">
        <v>46</v>
      </c>
      <c r="B29" t="s">
        <v>20</v>
      </c>
      <c r="D29" t="s">
        <v>326</v>
      </c>
      <c r="E29" s="2" t="s">
        <v>407</v>
      </c>
      <c r="F29" t="s">
        <v>337</v>
      </c>
      <c r="G29" t="s">
        <v>364</v>
      </c>
      <c r="H29" t="s">
        <v>342</v>
      </c>
      <c r="I29" t="s">
        <v>323</v>
      </c>
      <c r="J29" t="s">
        <v>408</v>
      </c>
      <c r="K29" s="10" t="s">
        <v>46</v>
      </c>
    </row>
    <row r="30" spans="1:11" ht="15" customHeight="1" x14ac:dyDescent="0.3">
      <c r="A30" t="s">
        <v>47</v>
      </c>
      <c r="B30" t="s">
        <v>20</v>
      </c>
      <c r="D30" t="s">
        <v>327</v>
      </c>
      <c r="E30" s="2" t="s">
        <v>409</v>
      </c>
      <c r="F30" t="s">
        <v>337</v>
      </c>
      <c r="G30" t="s">
        <v>337</v>
      </c>
      <c r="H30" t="s">
        <v>338</v>
      </c>
      <c r="I30" t="s">
        <v>323</v>
      </c>
      <c r="J30" t="s">
        <v>410</v>
      </c>
      <c r="K30" s="10" t="s">
        <v>464</v>
      </c>
    </row>
    <row r="31" spans="1:11" ht="15" customHeight="1" x14ac:dyDescent="0.3">
      <c r="A31" t="s">
        <v>48</v>
      </c>
      <c r="B31" t="s">
        <v>20</v>
      </c>
      <c r="D31" t="s">
        <v>327</v>
      </c>
      <c r="E31" s="2" t="s">
        <v>411</v>
      </c>
      <c r="F31" t="s">
        <v>337</v>
      </c>
      <c r="G31" t="s">
        <v>337</v>
      </c>
      <c r="H31" t="s">
        <v>338</v>
      </c>
      <c r="I31" t="s">
        <v>323</v>
      </c>
      <c r="J31" t="s">
        <v>412</v>
      </c>
      <c r="K31" s="10" t="s">
        <v>463</v>
      </c>
    </row>
    <row r="32" spans="1:11" ht="15" customHeight="1" x14ac:dyDescent="0.3">
      <c r="A32" t="s">
        <v>49</v>
      </c>
      <c r="B32" t="s">
        <v>20</v>
      </c>
      <c r="D32" t="s">
        <v>327</v>
      </c>
      <c r="E32" s="2" t="s">
        <v>413</v>
      </c>
      <c r="F32" t="s">
        <v>337</v>
      </c>
      <c r="G32" t="s">
        <v>337</v>
      </c>
      <c r="H32" t="s">
        <v>338</v>
      </c>
      <c r="I32" t="s">
        <v>323</v>
      </c>
      <c r="J32" t="s">
        <v>414</v>
      </c>
      <c r="K32" s="10" t="s">
        <v>462</v>
      </c>
    </row>
    <row r="33" spans="1:11" ht="15" customHeight="1" x14ac:dyDescent="0.3">
      <c r="A33" t="s">
        <v>50</v>
      </c>
      <c r="B33" t="s">
        <v>20</v>
      </c>
      <c r="D33" t="s">
        <v>327</v>
      </c>
      <c r="E33" s="2" t="s">
        <v>415</v>
      </c>
      <c r="F33" t="s">
        <v>337</v>
      </c>
      <c r="G33" t="s">
        <v>337</v>
      </c>
      <c r="H33" t="s">
        <v>338</v>
      </c>
      <c r="I33" t="s">
        <v>323</v>
      </c>
      <c r="J33" t="s">
        <v>416</v>
      </c>
      <c r="K33" s="10" t="s">
        <v>461</v>
      </c>
    </row>
    <row r="34" spans="1:11" ht="15" customHeight="1" x14ac:dyDescent="0.3">
      <c r="A34" t="s">
        <v>51</v>
      </c>
      <c r="B34" t="s">
        <v>20</v>
      </c>
      <c r="D34" t="s">
        <v>328</v>
      </c>
      <c r="E34" s="2" t="s">
        <v>418</v>
      </c>
      <c r="F34" t="s">
        <v>337</v>
      </c>
      <c r="G34" t="s">
        <v>337</v>
      </c>
      <c r="H34" t="s">
        <v>338</v>
      </c>
      <c r="I34" t="s">
        <v>323</v>
      </c>
      <c r="J34" t="s">
        <v>417</v>
      </c>
      <c r="K34" s="10" t="s">
        <v>51</v>
      </c>
    </row>
    <row r="35" spans="1:11" ht="15" customHeight="1" x14ac:dyDescent="0.3">
      <c r="A35" t="s">
        <v>52</v>
      </c>
      <c r="B35" t="s">
        <v>20</v>
      </c>
      <c r="D35" t="s">
        <v>328</v>
      </c>
      <c r="E35" s="2" t="s">
        <v>419</v>
      </c>
      <c r="F35" t="s">
        <v>337</v>
      </c>
      <c r="G35" t="s">
        <v>364</v>
      </c>
      <c r="H35" t="s">
        <v>338</v>
      </c>
      <c r="I35" t="s">
        <v>323</v>
      </c>
      <c r="J35" t="s">
        <v>420</v>
      </c>
      <c r="K35" s="10" t="s">
        <v>52</v>
      </c>
    </row>
    <row r="36" spans="1:11" ht="15" customHeight="1" x14ac:dyDescent="0.3">
      <c r="A36" t="s">
        <v>53</v>
      </c>
      <c r="B36" t="s">
        <v>20</v>
      </c>
      <c r="D36" t="s">
        <v>328</v>
      </c>
      <c r="E36" s="2" t="s">
        <v>421</v>
      </c>
      <c r="F36" t="s">
        <v>337</v>
      </c>
      <c r="G36" t="s">
        <v>364</v>
      </c>
      <c r="H36" t="s">
        <v>338</v>
      </c>
      <c r="I36" t="s">
        <v>323</v>
      </c>
      <c r="J36" t="s">
        <v>422</v>
      </c>
      <c r="K36" s="10" t="s">
        <v>53</v>
      </c>
    </row>
    <row r="37" spans="1:11" ht="15" customHeight="1" x14ac:dyDescent="0.3">
      <c r="A37" t="s">
        <v>54</v>
      </c>
      <c r="B37" t="s">
        <v>20</v>
      </c>
      <c r="C37" s="5">
        <v>46292</v>
      </c>
      <c r="D37" t="s">
        <v>17</v>
      </c>
      <c r="E37" s="2" t="s">
        <v>424</v>
      </c>
      <c r="F37" t="s">
        <v>18</v>
      </c>
      <c r="G37" t="s">
        <v>337</v>
      </c>
      <c r="H37" t="s">
        <v>382</v>
      </c>
      <c r="I37" t="s">
        <v>324</v>
      </c>
      <c r="J37" t="s">
        <v>425</v>
      </c>
      <c r="K37" s="10" t="s">
        <v>460</v>
      </c>
    </row>
    <row r="38" spans="1:11" ht="15" customHeight="1" x14ac:dyDescent="0.3">
      <c r="A38" t="s">
        <v>55</v>
      </c>
      <c r="B38" t="s">
        <v>20</v>
      </c>
      <c r="D38" t="s">
        <v>17</v>
      </c>
      <c r="E38" s="2" t="s">
        <v>423</v>
      </c>
      <c r="F38" t="s">
        <v>18</v>
      </c>
      <c r="G38" t="s">
        <v>337</v>
      </c>
      <c r="H38" t="s">
        <v>382</v>
      </c>
      <c r="I38" t="s">
        <v>324</v>
      </c>
      <c r="J38" t="s">
        <v>429</v>
      </c>
      <c r="K38" s="10" t="s">
        <v>459</v>
      </c>
    </row>
    <row r="39" spans="1:11" ht="15" customHeight="1" x14ac:dyDescent="0.3">
      <c r="A39" t="s">
        <v>56</v>
      </c>
      <c r="B39" t="s">
        <v>20</v>
      </c>
      <c r="D39" t="s">
        <v>17</v>
      </c>
      <c r="E39" s="2" t="s">
        <v>426</v>
      </c>
      <c r="F39" t="s">
        <v>18</v>
      </c>
      <c r="G39" t="s">
        <v>337</v>
      </c>
      <c r="H39" t="s">
        <v>382</v>
      </c>
      <c r="I39" t="s">
        <v>324</v>
      </c>
      <c r="J39" t="s">
        <v>428</v>
      </c>
      <c r="K39" s="10" t="s">
        <v>458</v>
      </c>
    </row>
    <row r="40" spans="1:11" ht="15" customHeight="1" x14ac:dyDescent="0.3">
      <c r="A40" t="s">
        <v>57</v>
      </c>
      <c r="B40" t="s">
        <v>20</v>
      </c>
      <c r="D40" t="s">
        <v>17</v>
      </c>
      <c r="E40" s="2" t="s">
        <v>427</v>
      </c>
      <c r="F40" t="s">
        <v>18</v>
      </c>
      <c r="G40" t="s">
        <v>337</v>
      </c>
      <c r="H40" t="s">
        <v>382</v>
      </c>
      <c r="I40" t="s">
        <v>324</v>
      </c>
      <c r="J40" t="s">
        <v>428</v>
      </c>
      <c r="K40" s="10" t="s">
        <v>457</v>
      </c>
    </row>
    <row r="41" spans="1:11" ht="15" customHeight="1" x14ac:dyDescent="0.3">
      <c r="A41" t="s">
        <v>58</v>
      </c>
      <c r="B41" t="s">
        <v>20</v>
      </c>
      <c r="C41" s="5">
        <v>46294</v>
      </c>
      <c r="D41" t="s">
        <v>17</v>
      </c>
      <c r="E41" s="2" t="s">
        <v>430</v>
      </c>
      <c r="F41" t="s">
        <v>337</v>
      </c>
      <c r="G41" t="s">
        <v>337</v>
      </c>
      <c r="H41" t="s">
        <v>338</v>
      </c>
      <c r="I41" t="s">
        <v>324</v>
      </c>
      <c r="J41" t="s">
        <v>431</v>
      </c>
      <c r="K41" s="10" t="s">
        <v>58</v>
      </c>
    </row>
    <row r="42" spans="1:11" ht="15" customHeight="1" x14ac:dyDescent="0.3">
      <c r="A42" t="s">
        <v>59</v>
      </c>
      <c r="B42" t="s">
        <v>20</v>
      </c>
      <c r="D42" t="s">
        <v>17</v>
      </c>
      <c r="E42" s="2" t="s">
        <v>432</v>
      </c>
      <c r="F42" t="s">
        <v>18</v>
      </c>
      <c r="G42" t="s">
        <v>337</v>
      </c>
      <c r="H42" t="s">
        <v>382</v>
      </c>
      <c r="I42" t="s">
        <v>324</v>
      </c>
      <c r="J42" t="s">
        <v>433</v>
      </c>
      <c r="K42" s="10" t="s">
        <v>456</v>
      </c>
    </row>
    <row r="43" spans="1:11" ht="15" customHeight="1" x14ac:dyDescent="0.3">
      <c r="A43" t="s">
        <v>60</v>
      </c>
      <c r="B43" t="s">
        <v>20</v>
      </c>
      <c r="D43" t="s">
        <v>17</v>
      </c>
      <c r="E43" s="2" t="s">
        <v>435</v>
      </c>
      <c r="F43" t="s">
        <v>18</v>
      </c>
      <c r="G43" t="s">
        <v>337</v>
      </c>
      <c r="H43" t="s">
        <v>382</v>
      </c>
      <c r="I43" t="s">
        <v>324</v>
      </c>
      <c r="J43" t="s">
        <v>434</v>
      </c>
      <c r="K43" s="10" t="s">
        <v>455</v>
      </c>
    </row>
    <row r="44" spans="1:11" ht="15" customHeight="1" x14ac:dyDescent="0.3">
      <c r="A44" t="s">
        <v>61</v>
      </c>
      <c r="B44" t="s">
        <v>20</v>
      </c>
      <c r="D44" t="s">
        <v>17</v>
      </c>
      <c r="E44" s="2" t="s">
        <v>437</v>
      </c>
      <c r="F44" t="s">
        <v>18</v>
      </c>
      <c r="G44" t="s">
        <v>364</v>
      </c>
      <c r="H44" t="s">
        <v>342</v>
      </c>
      <c r="I44" t="s">
        <v>324</v>
      </c>
      <c r="J44" t="s">
        <v>436</v>
      </c>
      <c r="K44" s="10" t="s">
        <v>61</v>
      </c>
    </row>
    <row r="45" spans="1:11" ht="15" customHeight="1" x14ac:dyDescent="0.3">
      <c r="A45" t="s">
        <v>62</v>
      </c>
      <c r="B45" t="s">
        <v>20</v>
      </c>
      <c r="D45" t="s">
        <v>327</v>
      </c>
      <c r="E45" s="2" t="s">
        <v>438</v>
      </c>
      <c r="F45" t="s">
        <v>18</v>
      </c>
      <c r="G45" t="s">
        <v>337</v>
      </c>
      <c r="H45" t="s">
        <v>382</v>
      </c>
      <c r="I45" t="s">
        <v>324</v>
      </c>
      <c r="J45" t="s">
        <v>439</v>
      </c>
      <c r="K45" s="10" t="s">
        <v>454</v>
      </c>
    </row>
    <row r="46" spans="1:11" ht="15" customHeight="1" x14ac:dyDescent="0.3">
      <c r="A46" t="s">
        <v>63</v>
      </c>
      <c r="B46" t="s">
        <v>20</v>
      </c>
      <c r="D46" t="s">
        <v>327</v>
      </c>
      <c r="E46" s="2" t="s">
        <v>440</v>
      </c>
      <c r="F46" t="s">
        <v>337</v>
      </c>
      <c r="G46" t="s">
        <v>337</v>
      </c>
      <c r="H46" t="s">
        <v>338</v>
      </c>
      <c r="I46" t="s">
        <v>324</v>
      </c>
      <c r="J46" t="s">
        <v>441</v>
      </c>
      <c r="K46" s="10" t="s">
        <v>453</v>
      </c>
    </row>
    <row r="47" spans="1:11" ht="15" customHeight="1" x14ac:dyDescent="0.3">
      <c r="A47" t="s">
        <v>64</v>
      </c>
      <c r="B47" t="s">
        <v>333</v>
      </c>
      <c r="D47" t="s">
        <v>17</v>
      </c>
      <c r="E47" s="2" t="s">
        <v>442</v>
      </c>
      <c r="F47" t="s">
        <v>337</v>
      </c>
      <c r="G47" t="s">
        <v>364</v>
      </c>
      <c r="H47" t="s">
        <v>338</v>
      </c>
      <c r="I47" t="s">
        <v>324</v>
      </c>
      <c r="J47" t="s">
        <v>443</v>
      </c>
      <c r="K47" s="10" t="s">
        <v>64</v>
      </c>
    </row>
    <row r="48" spans="1:11" ht="15" customHeight="1" x14ac:dyDescent="0.3">
      <c r="A48" t="s">
        <v>65</v>
      </c>
      <c r="B48" t="s">
        <v>333</v>
      </c>
      <c r="D48" t="s">
        <v>17</v>
      </c>
      <c r="E48" s="2" t="s">
        <v>444</v>
      </c>
      <c r="F48" t="s">
        <v>18</v>
      </c>
      <c r="G48" t="s">
        <v>364</v>
      </c>
      <c r="H48" t="s">
        <v>382</v>
      </c>
      <c r="I48" t="s">
        <v>324</v>
      </c>
      <c r="J48" t="s">
        <v>445</v>
      </c>
      <c r="K48" s="10" t="s">
        <v>452</v>
      </c>
    </row>
    <row r="49" spans="1:11" ht="15" customHeight="1" x14ac:dyDescent="0.3">
      <c r="A49" t="s">
        <v>66</v>
      </c>
      <c r="B49" t="s">
        <v>333</v>
      </c>
      <c r="D49" t="s">
        <v>327</v>
      </c>
      <c r="E49" s="2" t="s">
        <v>446</v>
      </c>
      <c r="F49" t="s">
        <v>18</v>
      </c>
      <c r="G49" t="s">
        <v>337</v>
      </c>
      <c r="H49" t="s">
        <v>338</v>
      </c>
      <c r="I49" t="s">
        <v>324</v>
      </c>
      <c r="J49" t="s">
        <v>447</v>
      </c>
      <c r="K49" s="10" t="s">
        <v>451</v>
      </c>
    </row>
    <row r="50" spans="1:11" ht="15" customHeight="1" x14ac:dyDescent="0.3">
      <c r="A50" t="s">
        <v>67</v>
      </c>
      <c r="B50" t="s">
        <v>333</v>
      </c>
      <c r="D50" t="s">
        <v>327</v>
      </c>
      <c r="E50" s="2" t="s">
        <v>449</v>
      </c>
      <c r="F50" t="s">
        <v>18</v>
      </c>
      <c r="G50" t="s">
        <v>337</v>
      </c>
      <c r="H50" t="s">
        <v>382</v>
      </c>
      <c r="I50" t="s">
        <v>324</v>
      </c>
      <c r="J50" s="2" t="s">
        <v>448</v>
      </c>
      <c r="K50" s="10" t="s">
        <v>450</v>
      </c>
    </row>
    <row r="51" spans="1:11" ht="15" customHeight="1" x14ac:dyDescent="0.3">
      <c r="A51" t="s">
        <v>68</v>
      </c>
    </row>
    <row r="52" spans="1:11" ht="15" customHeight="1" x14ac:dyDescent="0.3">
      <c r="A52" t="s">
        <v>69</v>
      </c>
    </row>
    <row r="53" spans="1:11" ht="15" customHeight="1" x14ac:dyDescent="0.3">
      <c r="A53" t="s">
        <v>70</v>
      </c>
    </row>
    <row r="54" spans="1:11" ht="15" customHeight="1" x14ac:dyDescent="0.3">
      <c r="A54" t="s">
        <v>71</v>
      </c>
    </row>
    <row r="55" spans="1:11" ht="15" customHeight="1" x14ac:dyDescent="0.3">
      <c r="A55" t="s">
        <v>72</v>
      </c>
    </row>
    <row r="56" spans="1:11" ht="15" customHeight="1" x14ac:dyDescent="0.3">
      <c r="A56" t="s">
        <v>73</v>
      </c>
    </row>
    <row r="57" spans="1:11" ht="15" customHeight="1" x14ac:dyDescent="0.3">
      <c r="A57" t="s">
        <v>74</v>
      </c>
    </row>
    <row r="58" spans="1:11" ht="15" customHeight="1" x14ac:dyDescent="0.3">
      <c r="A58" t="s">
        <v>75</v>
      </c>
    </row>
    <row r="59" spans="1:11" ht="15" customHeight="1" x14ac:dyDescent="0.3">
      <c r="A59" t="s">
        <v>76</v>
      </c>
    </row>
    <row r="60" spans="1:11" ht="15" customHeight="1" x14ac:dyDescent="0.3">
      <c r="A60" t="s">
        <v>77</v>
      </c>
    </row>
    <row r="61" spans="1:11" ht="15" customHeight="1" x14ac:dyDescent="0.3">
      <c r="A61" t="s">
        <v>78</v>
      </c>
    </row>
    <row r="62" spans="1:11" ht="15" customHeight="1" x14ac:dyDescent="0.3">
      <c r="A62" t="s">
        <v>79</v>
      </c>
    </row>
    <row r="63" spans="1:11" ht="15" customHeight="1" x14ac:dyDescent="0.3">
      <c r="A63" t="s">
        <v>80</v>
      </c>
    </row>
    <row r="64" spans="1:11" ht="15" customHeight="1" x14ac:dyDescent="0.3">
      <c r="A64" t="s">
        <v>81</v>
      </c>
    </row>
    <row r="65" spans="1:1" ht="15" customHeight="1" x14ac:dyDescent="0.3">
      <c r="A65" t="s">
        <v>82</v>
      </c>
    </row>
    <row r="66" spans="1:1" ht="15" customHeight="1" x14ac:dyDescent="0.3">
      <c r="A66" t="s">
        <v>83</v>
      </c>
    </row>
    <row r="67" spans="1:1" ht="15" customHeight="1" x14ac:dyDescent="0.3">
      <c r="A67" t="s">
        <v>84</v>
      </c>
    </row>
    <row r="68" spans="1:1" ht="15" customHeight="1" x14ac:dyDescent="0.3">
      <c r="A68" t="s">
        <v>85</v>
      </c>
    </row>
    <row r="69" spans="1:1" ht="15" customHeight="1" x14ac:dyDescent="0.3">
      <c r="A69" t="s">
        <v>86</v>
      </c>
    </row>
    <row r="70" spans="1:1" ht="15" customHeight="1" x14ac:dyDescent="0.3">
      <c r="A70" t="s">
        <v>87</v>
      </c>
    </row>
    <row r="71" spans="1:1" ht="15" customHeight="1" x14ac:dyDescent="0.3">
      <c r="A71" t="s">
        <v>88</v>
      </c>
    </row>
    <row r="72" spans="1:1" ht="15" customHeight="1" x14ac:dyDescent="0.3">
      <c r="A72" t="s">
        <v>89</v>
      </c>
    </row>
    <row r="73" spans="1:1" ht="15" customHeight="1" x14ac:dyDescent="0.3">
      <c r="A73" t="s">
        <v>90</v>
      </c>
    </row>
    <row r="74" spans="1:1" ht="15" customHeight="1" x14ac:dyDescent="0.3">
      <c r="A74" t="s">
        <v>91</v>
      </c>
    </row>
    <row r="75" spans="1:1" ht="15" customHeight="1" x14ac:dyDescent="0.3">
      <c r="A75" t="s">
        <v>92</v>
      </c>
    </row>
    <row r="76" spans="1:1" ht="15" customHeight="1" x14ac:dyDescent="0.3">
      <c r="A76" t="s">
        <v>93</v>
      </c>
    </row>
    <row r="77" spans="1:1" ht="15" customHeight="1" x14ac:dyDescent="0.3">
      <c r="A77" t="s">
        <v>94</v>
      </c>
    </row>
    <row r="78" spans="1:1" ht="15" customHeight="1" x14ac:dyDescent="0.3">
      <c r="A78" t="s">
        <v>95</v>
      </c>
    </row>
    <row r="79" spans="1:1" ht="15" customHeight="1" x14ac:dyDescent="0.3">
      <c r="A79" t="s">
        <v>96</v>
      </c>
    </row>
    <row r="80" spans="1:1" ht="15" customHeight="1" x14ac:dyDescent="0.3">
      <c r="A80" t="s">
        <v>97</v>
      </c>
    </row>
    <row r="81" spans="1:1" ht="15" customHeight="1" x14ac:dyDescent="0.3">
      <c r="A81" t="s">
        <v>98</v>
      </c>
    </row>
    <row r="82" spans="1:1" ht="15" customHeight="1" x14ac:dyDescent="0.3">
      <c r="A82" t="s">
        <v>99</v>
      </c>
    </row>
    <row r="83" spans="1:1" ht="15" customHeight="1" x14ac:dyDescent="0.3">
      <c r="A83" t="s">
        <v>100</v>
      </c>
    </row>
    <row r="84" spans="1:1" ht="15" customHeight="1" x14ac:dyDescent="0.3">
      <c r="A84" t="s">
        <v>101</v>
      </c>
    </row>
    <row r="85" spans="1:1" ht="15" customHeight="1" x14ac:dyDescent="0.3">
      <c r="A85" t="s">
        <v>102</v>
      </c>
    </row>
    <row r="86" spans="1:1" ht="15" customHeight="1" x14ac:dyDescent="0.3">
      <c r="A86" t="s">
        <v>103</v>
      </c>
    </row>
    <row r="87" spans="1:1" ht="15" customHeight="1" x14ac:dyDescent="0.3">
      <c r="A87" t="s">
        <v>104</v>
      </c>
    </row>
    <row r="88" spans="1:1" ht="15" customHeight="1" x14ac:dyDescent="0.3">
      <c r="A88" t="s">
        <v>105</v>
      </c>
    </row>
    <row r="89" spans="1:1" ht="15" customHeight="1" x14ac:dyDescent="0.3">
      <c r="A89" t="s">
        <v>106</v>
      </c>
    </row>
    <row r="90" spans="1:1" ht="15" customHeight="1" x14ac:dyDescent="0.3">
      <c r="A90" t="s">
        <v>107</v>
      </c>
    </row>
    <row r="91" spans="1:1" ht="15" customHeight="1" x14ac:dyDescent="0.3">
      <c r="A91" t="s">
        <v>108</v>
      </c>
    </row>
    <row r="92" spans="1:1" ht="15" customHeight="1" x14ac:dyDescent="0.3">
      <c r="A92" t="s">
        <v>109</v>
      </c>
    </row>
    <row r="93" spans="1:1" ht="15" customHeight="1" x14ac:dyDescent="0.3">
      <c r="A93" t="s">
        <v>110</v>
      </c>
    </row>
    <row r="94" spans="1:1" ht="15" customHeight="1" x14ac:dyDescent="0.3">
      <c r="A94" t="s">
        <v>111</v>
      </c>
    </row>
    <row r="95" spans="1:1" ht="15" customHeight="1" x14ac:dyDescent="0.3">
      <c r="A95" t="s">
        <v>112</v>
      </c>
    </row>
    <row r="96" spans="1:1" ht="15" customHeight="1" x14ac:dyDescent="0.3">
      <c r="A96" t="s">
        <v>113</v>
      </c>
    </row>
    <row r="97" spans="1:1" ht="15" customHeight="1" x14ac:dyDescent="0.3">
      <c r="A97" t="s">
        <v>114</v>
      </c>
    </row>
    <row r="98" spans="1:1" ht="15" customHeight="1" x14ac:dyDescent="0.3">
      <c r="A98" t="s">
        <v>115</v>
      </c>
    </row>
    <row r="99" spans="1:1" ht="15" customHeight="1" x14ac:dyDescent="0.3">
      <c r="A99" t="s">
        <v>116</v>
      </c>
    </row>
    <row r="100" spans="1:1" ht="15" customHeight="1" x14ac:dyDescent="0.3">
      <c r="A100" t="s">
        <v>117</v>
      </c>
    </row>
    <row r="101" spans="1:1" ht="15" customHeight="1" x14ac:dyDescent="0.3">
      <c r="A101" t="s">
        <v>118</v>
      </c>
    </row>
    <row r="102" spans="1:1" ht="15" customHeight="1" x14ac:dyDescent="0.3">
      <c r="A102" t="s">
        <v>119</v>
      </c>
    </row>
    <row r="103" spans="1:1" ht="15" customHeight="1" x14ac:dyDescent="0.3">
      <c r="A103" t="s">
        <v>120</v>
      </c>
    </row>
    <row r="104" spans="1:1" ht="15" customHeight="1" x14ac:dyDescent="0.3">
      <c r="A104" t="s">
        <v>121</v>
      </c>
    </row>
    <row r="105" spans="1:1" ht="15" customHeight="1" x14ac:dyDescent="0.3">
      <c r="A105" t="s">
        <v>122</v>
      </c>
    </row>
    <row r="106" spans="1:1" ht="15" customHeight="1" x14ac:dyDescent="0.3">
      <c r="A106" t="s">
        <v>123</v>
      </c>
    </row>
    <row r="107" spans="1:1" ht="15" customHeight="1" x14ac:dyDescent="0.3">
      <c r="A107" t="s">
        <v>124</v>
      </c>
    </row>
    <row r="108" spans="1:1" ht="15" customHeight="1" x14ac:dyDescent="0.3">
      <c r="A108" t="s">
        <v>125</v>
      </c>
    </row>
    <row r="109" spans="1:1" ht="15" customHeight="1" x14ac:dyDescent="0.3">
      <c r="A109" t="s">
        <v>126</v>
      </c>
    </row>
    <row r="110" spans="1:1" ht="15" customHeight="1" x14ac:dyDescent="0.3">
      <c r="A110" t="s">
        <v>127</v>
      </c>
    </row>
    <row r="111" spans="1:1" ht="15" customHeight="1" x14ac:dyDescent="0.3">
      <c r="A111" t="s">
        <v>128</v>
      </c>
    </row>
    <row r="112" spans="1:1" ht="15" customHeight="1" x14ac:dyDescent="0.3">
      <c r="A112" t="s">
        <v>129</v>
      </c>
    </row>
    <row r="113" spans="1:1" ht="15" customHeight="1" x14ac:dyDescent="0.3">
      <c r="A113" t="s">
        <v>130</v>
      </c>
    </row>
    <row r="114" spans="1:1" ht="15" customHeight="1" x14ac:dyDescent="0.3">
      <c r="A114" t="s">
        <v>131</v>
      </c>
    </row>
    <row r="115" spans="1:1" ht="15" customHeight="1" x14ac:dyDescent="0.3">
      <c r="A115" t="s">
        <v>132</v>
      </c>
    </row>
    <row r="116" spans="1:1" ht="15" customHeight="1" x14ac:dyDescent="0.3">
      <c r="A116" t="s">
        <v>133</v>
      </c>
    </row>
    <row r="117" spans="1:1" ht="15" customHeight="1" x14ac:dyDescent="0.3">
      <c r="A117" t="s">
        <v>134</v>
      </c>
    </row>
    <row r="118" spans="1:1" ht="15" customHeight="1" x14ac:dyDescent="0.3">
      <c r="A118" t="s">
        <v>135</v>
      </c>
    </row>
    <row r="119" spans="1:1" ht="15" customHeight="1" x14ac:dyDescent="0.3">
      <c r="A119" t="s">
        <v>136</v>
      </c>
    </row>
    <row r="120" spans="1:1" ht="15" customHeight="1" x14ac:dyDescent="0.3">
      <c r="A120" t="s">
        <v>137</v>
      </c>
    </row>
    <row r="121" spans="1:1" ht="15" customHeight="1" x14ac:dyDescent="0.3">
      <c r="A121" t="s">
        <v>138</v>
      </c>
    </row>
    <row r="122" spans="1:1" ht="15" customHeight="1" x14ac:dyDescent="0.3">
      <c r="A122" t="s">
        <v>139</v>
      </c>
    </row>
    <row r="123" spans="1:1" ht="15" customHeight="1" x14ac:dyDescent="0.3">
      <c r="A123" t="s">
        <v>140</v>
      </c>
    </row>
    <row r="124" spans="1:1" ht="15" customHeight="1" x14ac:dyDescent="0.3">
      <c r="A124" t="s">
        <v>141</v>
      </c>
    </row>
    <row r="125" spans="1:1" ht="15" customHeight="1" x14ac:dyDescent="0.3">
      <c r="A125" t="s">
        <v>142</v>
      </c>
    </row>
    <row r="126" spans="1:1" ht="15" customHeight="1" x14ac:dyDescent="0.3">
      <c r="A126" t="s">
        <v>143</v>
      </c>
    </row>
    <row r="127" spans="1:1" ht="15" customHeight="1" x14ac:dyDescent="0.3">
      <c r="A127" t="s">
        <v>144</v>
      </c>
    </row>
    <row r="128" spans="1:1" ht="15" customHeight="1" x14ac:dyDescent="0.3">
      <c r="A128" t="s">
        <v>145</v>
      </c>
    </row>
    <row r="129" spans="1:1" ht="15" customHeight="1" x14ac:dyDescent="0.3">
      <c r="A129" t="s">
        <v>146</v>
      </c>
    </row>
    <row r="130" spans="1:1" ht="15" customHeight="1" x14ac:dyDescent="0.3">
      <c r="A130" t="s">
        <v>147</v>
      </c>
    </row>
    <row r="131" spans="1:1" ht="15" customHeight="1" x14ac:dyDescent="0.3">
      <c r="A131" t="s">
        <v>148</v>
      </c>
    </row>
    <row r="132" spans="1:1" ht="15" customHeight="1" x14ac:dyDescent="0.3">
      <c r="A132" t="s">
        <v>149</v>
      </c>
    </row>
    <row r="133" spans="1:1" ht="15" customHeight="1" x14ac:dyDescent="0.3">
      <c r="A133" t="s">
        <v>150</v>
      </c>
    </row>
    <row r="134" spans="1:1" ht="15" customHeight="1" x14ac:dyDescent="0.3">
      <c r="A134" t="s">
        <v>151</v>
      </c>
    </row>
    <row r="135" spans="1:1" ht="15" customHeight="1" x14ac:dyDescent="0.3">
      <c r="A135" t="s">
        <v>152</v>
      </c>
    </row>
    <row r="136" spans="1:1" ht="15" customHeight="1" x14ac:dyDescent="0.3">
      <c r="A136" t="s">
        <v>153</v>
      </c>
    </row>
    <row r="137" spans="1:1" ht="15" customHeight="1" x14ac:dyDescent="0.3">
      <c r="A137" t="s">
        <v>154</v>
      </c>
    </row>
    <row r="138" spans="1:1" ht="15" customHeight="1" x14ac:dyDescent="0.3">
      <c r="A138" t="s">
        <v>155</v>
      </c>
    </row>
    <row r="139" spans="1:1" ht="15" customHeight="1" x14ac:dyDescent="0.3">
      <c r="A139" t="s">
        <v>156</v>
      </c>
    </row>
    <row r="140" spans="1:1" ht="15" customHeight="1" x14ac:dyDescent="0.3">
      <c r="A140" t="s">
        <v>157</v>
      </c>
    </row>
    <row r="141" spans="1:1" ht="15" customHeight="1" x14ac:dyDescent="0.3">
      <c r="A141" t="s">
        <v>158</v>
      </c>
    </row>
    <row r="142" spans="1:1" ht="15" customHeight="1" x14ac:dyDescent="0.3">
      <c r="A142" t="s">
        <v>159</v>
      </c>
    </row>
    <row r="143" spans="1:1" ht="15" customHeight="1" x14ac:dyDescent="0.3">
      <c r="A143" t="s">
        <v>160</v>
      </c>
    </row>
    <row r="144" spans="1:1" ht="15" customHeight="1" x14ac:dyDescent="0.3">
      <c r="A144" t="s">
        <v>161</v>
      </c>
    </row>
    <row r="145" spans="1:1" ht="15" customHeight="1" x14ac:dyDescent="0.3">
      <c r="A145" t="s">
        <v>162</v>
      </c>
    </row>
    <row r="146" spans="1:1" ht="15" customHeight="1" x14ac:dyDescent="0.3">
      <c r="A146" t="s">
        <v>163</v>
      </c>
    </row>
    <row r="147" spans="1:1" ht="15" customHeight="1" x14ac:dyDescent="0.3">
      <c r="A147" t="s">
        <v>164</v>
      </c>
    </row>
    <row r="148" spans="1:1" ht="15" customHeight="1" x14ac:dyDescent="0.3">
      <c r="A148" t="s">
        <v>165</v>
      </c>
    </row>
    <row r="149" spans="1:1" ht="15" customHeight="1" x14ac:dyDescent="0.3">
      <c r="A149" t="s">
        <v>166</v>
      </c>
    </row>
    <row r="150" spans="1:1" ht="15" customHeight="1" x14ac:dyDescent="0.3">
      <c r="A150" t="s">
        <v>167</v>
      </c>
    </row>
    <row r="151" spans="1:1" ht="15" customHeight="1" x14ac:dyDescent="0.3">
      <c r="A151" t="s">
        <v>168</v>
      </c>
    </row>
    <row r="152" spans="1:1" ht="15" customHeight="1" x14ac:dyDescent="0.3">
      <c r="A152" t="s">
        <v>169</v>
      </c>
    </row>
    <row r="153" spans="1:1" ht="15" customHeight="1" x14ac:dyDescent="0.3">
      <c r="A153" t="s">
        <v>170</v>
      </c>
    </row>
    <row r="154" spans="1:1" ht="15" customHeight="1" x14ac:dyDescent="0.3">
      <c r="A154" t="s">
        <v>171</v>
      </c>
    </row>
    <row r="155" spans="1:1" ht="15" customHeight="1" x14ac:dyDescent="0.3">
      <c r="A155" t="s">
        <v>172</v>
      </c>
    </row>
    <row r="156" spans="1:1" ht="15" customHeight="1" x14ac:dyDescent="0.3">
      <c r="A156" t="s">
        <v>173</v>
      </c>
    </row>
    <row r="157" spans="1:1" ht="15" customHeight="1" x14ac:dyDescent="0.3">
      <c r="A157" t="s">
        <v>174</v>
      </c>
    </row>
    <row r="158" spans="1:1" ht="15" customHeight="1" x14ac:dyDescent="0.3">
      <c r="A158" t="s">
        <v>175</v>
      </c>
    </row>
    <row r="159" spans="1:1" ht="15" customHeight="1" x14ac:dyDescent="0.3">
      <c r="A159" t="s">
        <v>176</v>
      </c>
    </row>
    <row r="160" spans="1:1" ht="15" customHeight="1" x14ac:dyDescent="0.3">
      <c r="A160" t="s">
        <v>177</v>
      </c>
    </row>
    <row r="161" spans="1:1" ht="15" customHeight="1" x14ac:dyDescent="0.3">
      <c r="A161" t="s">
        <v>178</v>
      </c>
    </row>
    <row r="162" spans="1:1" ht="15" customHeight="1" x14ac:dyDescent="0.3">
      <c r="A162" t="s">
        <v>179</v>
      </c>
    </row>
    <row r="163" spans="1:1" ht="15" customHeight="1" x14ac:dyDescent="0.3">
      <c r="A163" t="s">
        <v>180</v>
      </c>
    </row>
    <row r="164" spans="1:1" ht="15" customHeight="1" x14ac:dyDescent="0.3">
      <c r="A164" t="s">
        <v>181</v>
      </c>
    </row>
    <row r="165" spans="1:1" ht="15" customHeight="1" x14ac:dyDescent="0.3">
      <c r="A165" t="s">
        <v>182</v>
      </c>
    </row>
    <row r="166" spans="1:1" ht="15" customHeight="1" x14ac:dyDescent="0.3">
      <c r="A166" t="s">
        <v>183</v>
      </c>
    </row>
    <row r="167" spans="1:1" ht="15" customHeight="1" x14ac:dyDescent="0.3">
      <c r="A167" t="s">
        <v>184</v>
      </c>
    </row>
    <row r="168" spans="1:1" ht="15" customHeight="1" x14ac:dyDescent="0.3">
      <c r="A168" t="s">
        <v>185</v>
      </c>
    </row>
    <row r="169" spans="1:1" ht="15" customHeight="1" x14ac:dyDescent="0.3">
      <c r="A169" t="s">
        <v>186</v>
      </c>
    </row>
    <row r="170" spans="1:1" ht="15" customHeight="1" x14ac:dyDescent="0.3">
      <c r="A170" t="s">
        <v>187</v>
      </c>
    </row>
    <row r="171" spans="1:1" ht="15" customHeight="1" x14ac:dyDescent="0.3">
      <c r="A171" t="s">
        <v>188</v>
      </c>
    </row>
    <row r="172" spans="1:1" ht="15" customHeight="1" x14ac:dyDescent="0.3">
      <c r="A172" t="s">
        <v>189</v>
      </c>
    </row>
    <row r="173" spans="1:1" ht="15" customHeight="1" x14ac:dyDescent="0.3">
      <c r="A173" t="s">
        <v>190</v>
      </c>
    </row>
    <row r="174" spans="1:1" ht="15" customHeight="1" x14ac:dyDescent="0.3">
      <c r="A174" t="s">
        <v>191</v>
      </c>
    </row>
    <row r="175" spans="1:1" ht="15" customHeight="1" x14ac:dyDescent="0.3">
      <c r="A175" t="s">
        <v>192</v>
      </c>
    </row>
    <row r="176" spans="1:1" ht="15" customHeight="1" x14ac:dyDescent="0.3">
      <c r="A176" t="s">
        <v>193</v>
      </c>
    </row>
    <row r="177" spans="1:1" ht="15" customHeight="1" x14ac:dyDescent="0.3">
      <c r="A177" t="s">
        <v>194</v>
      </c>
    </row>
    <row r="178" spans="1:1" ht="15" customHeight="1" x14ac:dyDescent="0.3">
      <c r="A178" t="s">
        <v>195</v>
      </c>
    </row>
    <row r="179" spans="1:1" ht="15" customHeight="1" x14ac:dyDescent="0.3">
      <c r="A179" t="s">
        <v>196</v>
      </c>
    </row>
    <row r="180" spans="1:1" ht="15" customHeight="1" x14ac:dyDescent="0.3">
      <c r="A180" t="s">
        <v>197</v>
      </c>
    </row>
    <row r="181" spans="1:1" ht="15" customHeight="1" x14ac:dyDescent="0.3">
      <c r="A181" t="s">
        <v>198</v>
      </c>
    </row>
    <row r="182" spans="1:1" ht="15" customHeight="1" x14ac:dyDescent="0.3">
      <c r="A182" t="s">
        <v>199</v>
      </c>
    </row>
    <row r="183" spans="1:1" ht="15" customHeight="1" x14ac:dyDescent="0.3">
      <c r="A183" t="s">
        <v>200</v>
      </c>
    </row>
    <row r="184" spans="1:1" ht="15" customHeight="1" x14ac:dyDescent="0.3">
      <c r="A184" t="s">
        <v>201</v>
      </c>
    </row>
    <row r="185" spans="1:1" ht="15" customHeight="1" x14ac:dyDescent="0.3">
      <c r="A185" t="s">
        <v>202</v>
      </c>
    </row>
    <row r="186" spans="1:1" ht="15" customHeight="1" x14ac:dyDescent="0.3">
      <c r="A186" t="s">
        <v>203</v>
      </c>
    </row>
    <row r="187" spans="1:1" ht="15" customHeight="1" x14ac:dyDescent="0.3">
      <c r="A187" t="s">
        <v>204</v>
      </c>
    </row>
    <row r="188" spans="1:1" ht="15" customHeight="1" x14ac:dyDescent="0.3">
      <c r="A188" t="s">
        <v>205</v>
      </c>
    </row>
    <row r="189" spans="1:1" ht="15" customHeight="1" x14ac:dyDescent="0.3">
      <c r="A189" t="s">
        <v>206</v>
      </c>
    </row>
    <row r="190" spans="1:1" ht="15" customHeight="1" x14ac:dyDescent="0.3">
      <c r="A190" t="s">
        <v>207</v>
      </c>
    </row>
    <row r="191" spans="1:1" ht="15" customHeight="1" x14ac:dyDescent="0.3">
      <c r="A191" t="s">
        <v>208</v>
      </c>
    </row>
    <row r="192" spans="1:1" ht="15" customHeight="1" x14ac:dyDescent="0.3">
      <c r="A192" t="s">
        <v>209</v>
      </c>
    </row>
    <row r="193" spans="1:1" ht="15" customHeight="1" x14ac:dyDescent="0.3">
      <c r="A193" t="s">
        <v>210</v>
      </c>
    </row>
    <row r="194" spans="1:1" ht="15" customHeight="1" x14ac:dyDescent="0.3">
      <c r="A194" t="s">
        <v>211</v>
      </c>
    </row>
    <row r="195" spans="1:1" ht="15" customHeight="1" x14ac:dyDescent="0.3">
      <c r="A195" t="s">
        <v>212</v>
      </c>
    </row>
    <row r="196" spans="1:1" ht="15" customHeight="1" x14ac:dyDescent="0.3">
      <c r="A196" t="s">
        <v>213</v>
      </c>
    </row>
    <row r="197" spans="1:1" ht="15" customHeight="1" x14ac:dyDescent="0.3">
      <c r="A197" t="s">
        <v>214</v>
      </c>
    </row>
    <row r="198" spans="1:1" ht="15" customHeight="1" x14ac:dyDescent="0.3">
      <c r="A198" t="s">
        <v>215</v>
      </c>
    </row>
    <row r="199" spans="1:1" ht="15" customHeight="1" x14ac:dyDescent="0.3">
      <c r="A199" t="s">
        <v>216</v>
      </c>
    </row>
    <row r="200" spans="1:1" ht="15" customHeight="1" x14ac:dyDescent="0.3">
      <c r="A200" t="s">
        <v>217</v>
      </c>
    </row>
    <row r="201" spans="1:1" ht="15" customHeight="1" x14ac:dyDescent="0.3">
      <c r="A201" t="s">
        <v>218</v>
      </c>
    </row>
    <row r="202" spans="1:1" ht="15" customHeight="1" x14ac:dyDescent="0.3">
      <c r="A202" t="s">
        <v>219</v>
      </c>
    </row>
    <row r="203" spans="1:1" ht="15" customHeight="1" x14ac:dyDescent="0.3">
      <c r="A203" t="s">
        <v>220</v>
      </c>
    </row>
    <row r="204" spans="1:1" ht="15" customHeight="1" x14ac:dyDescent="0.3">
      <c r="A204" t="s">
        <v>221</v>
      </c>
    </row>
    <row r="205" spans="1:1" ht="15" customHeight="1" x14ac:dyDescent="0.3">
      <c r="A205" t="s">
        <v>222</v>
      </c>
    </row>
    <row r="206" spans="1:1" ht="15" customHeight="1" x14ac:dyDescent="0.3">
      <c r="A206" t="s">
        <v>223</v>
      </c>
    </row>
    <row r="207" spans="1:1" ht="15" customHeight="1" x14ac:dyDescent="0.3">
      <c r="A207" t="s">
        <v>224</v>
      </c>
    </row>
    <row r="208" spans="1:1" ht="15" customHeight="1" x14ac:dyDescent="0.3">
      <c r="A208" t="s">
        <v>225</v>
      </c>
    </row>
    <row r="209" spans="1:1" ht="15" customHeight="1" x14ac:dyDescent="0.3">
      <c r="A209" t="s">
        <v>226</v>
      </c>
    </row>
    <row r="210" spans="1:1" ht="15" customHeight="1" x14ac:dyDescent="0.3">
      <c r="A210" t="s">
        <v>227</v>
      </c>
    </row>
    <row r="211" spans="1:1" ht="15" customHeight="1" x14ac:dyDescent="0.3">
      <c r="A211" t="s">
        <v>228</v>
      </c>
    </row>
    <row r="212" spans="1:1" ht="15" customHeight="1" x14ac:dyDescent="0.3">
      <c r="A212" t="s">
        <v>229</v>
      </c>
    </row>
    <row r="213" spans="1:1" ht="15" customHeight="1" x14ac:dyDescent="0.3">
      <c r="A213" t="s">
        <v>230</v>
      </c>
    </row>
    <row r="214" spans="1:1" ht="15" customHeight="1" x14ac:dyDescent="0.3">
      <c r="A214" t="s">
        <v>231</v>
      </c>
    </row>
    <row r="215" spans="1:1" ht="15" customHeight="1" x14ac:dyDescent="0.3">
      <c r="A215" t="s">
        <v>232</v>
      </c>
    </row>
    <row r="216" spans="1:1" ht="15" customHeight="1" x14ac:dyDescent="0.3">
      <c r="A216" t="s">
        <v>233</v>
      </c>
    </row>
    <row r="217" spans="1:1" ht="15" customHeight="1" x14ac:dyDescent="0.3">
      <c r="A217" t="s">
        <v>234</v>
      </c>
    </row>
    <row r="218" spans="1:1" ht="15" customHeight="1" x14ac:dyDescent="0.3">
      <c r="A218" t="s">
        <v>235</v>
      </c>
    </row>
    <row r="219" spans="1:1" ht="15" customHeight="1" x14ac:dyDescent="0.3">
      <c r="A219" t="s">
        <v>236</v>
      </c>
    </row>
    <row r="220" spans="1:1" ht="15" customHeight="1" x14ac:dyDescent="0.3">
      <c r="A220" t="s">
        <v>237</v>
      </c>
    </row>
    <row r="221" spans="1:1" ht="15" customHeight="1" x14ac:dyDescent="0.3">
      <c r="A221" t="s">
        <v>238</v>
      </c>
    </row>
    <row r="222" spans="1:1" ht="15" customHeight="1" x14ac:dyDescent="0.3">
      <c r="A222" t="s">
        <v>239</v>
      </c>
    </row>
    <row r="223" spans="1:1" ht="15" customHeight="1" x14ac:dyDescent="0.3">
      <c r="A223" t="s">
        <v>240</v>
      </c>
    </row>
    <row r="224" spans="1:1" ht="15" customHeight="1" x14ac:dyDescent="0.3">
      <c r="A224" t="s">
        <v>241</v>
      </c>
    </row>
    <row r="225" spans="1:1" ht="15" customHeight="1" x14ac:dyDescent="0.3">
      <c r="A225" t="s">
        <v>242</v>
      </c>
    </row>
    <row r="226" spans="1:1" ht="15" customHeight="1" x14ac:dyDescent="0.3">
      <c r="A226" t="s">
        <v>243</v>
      </c>
    </row>
    <row r="227" spans="1:1" ht="15" customHeight="1" x14ac:dyDescent="0.3">
      <c r="A227" t="s">
        <v>244</v>
      </c>
    </row>
    <row r="228" spans="1:1" ht="15" customHeight="1" x14ac:dyDescent="0.3">
      <c r="A228" t="s">
        <v>245</v>
      </c>
    </row>
    <row r="229" spans="1:1" ht="15" customHeight="1" x14ac:dyDescent="0.3">
      <c r="A229" t="s">
        <v>246</v>
      </c>
    </row>
    <row r="230" spans="1:1" ht="15" customHeight="1" x14ac:dyDescent="0.3">
      <c r="A230" t="s">
        <v>247</v>
      </c>
    </row>
    <row r="231" spans="1:1" ht="15" customHeight="1" x14ac:dyDescent="0.3">
      <c r="A231" t="s">
        <v>248</v>
      </c>
    </row>
    <row r="232" spans="1:1" ht="15" customHeight="1" x14ac:dyDescent="0.3">
      <c r="A232" t="s">
        <v>249</v>
      </c>
    </row>
    <row r="233" spans="1:1" ht="15" customHeight="1" x14ac:dyDescent="0.3">
      <c r="A233" t="s">
        <v>250</v>
      </c>
    </row>
    <row r="234" spans="1:1" ht="15" customHeight="1" x14ac:dyDescent="0.3">
      <c r="A234" t="s">
        <v>251</v>
      </c>
    </row>
    <row r="235" spans="1:1" ht="15" customHeight="1" x14ac:dyDescent="0.3">
      <c r="A235" t="s">
        <v>252</v>
      </c>
    </row>
    <row r="236" spans="1:1" ht="15" customHeight="1" x14ac:dyDescent="0.3">
      <c r="A236" t="s">
        <v>253</v>
      </c>
    </row>
    <row r="237" spans="1:1" ht="15" customHeight="1" x14ac:dyDescent="0.3">
      <c r="A237" t="s">
        <v>254</v>
      </c>
    </row>
    <row r="238" spans="1:1" ht="15" customHeight="1" x14ac:dyDescent="0.3">
      <c r="A238" t="s">
        <v>255</v>
      </c>
    </row>
    <row r="239" spans="1:1" ht="15" customHeight="1" x14ac:dyDescent="0.3">
      <c r="A239" t="s">
        <v>256</v>
      </c>
    </row>
    <row r="240" spans="1:1" ht="15" customHeight="1" x14ac:dyDescent="0.3">
      <c r="A240" t="s">
        <v>257</v>
      </c>
    </row>
    <row r="241" spans="1:1" ht="15" customHeight="1" x14ac:dyDescent="0.3">
      <c r="A241" t="s">
        <v>258</v>
      </c>
    </row>
    <row r="242" spans="1:1" ht="15" customHeight="1" x14ac:dyDescent="0.3">
      <c r="A242" t="s">
        <v>259</v>
      </c>
    </row>
    <row r="243" spans="1:1" ht="15" customHeight="1" x14ac:dyDescent="0.3">
      <c r="A243" t="s">
        <v>260</v>
      </c>
    </row>
    <row r="244" spans="1:1" ht="15" customHeight="1" x14ac:dyDescent="0.3">
      <c r="A244" t="s">
        <v>261</v>
      </c>
    </row>
    <row r="245" spans="1:1" ht="15" customHeight="1" x14ac:dyDescent="0.3">
      <c r="A245" t="s">
        <v>262</v>
      </c>
    </row>
    <row r="246" spans="1:1" ht="15" customHeight="1" x14ac:dyDescent="0.3">
      <c r="A246" t="s">
        <v>263</v>
      </c>
    </row>
    <row r="247" spans="1:1" ht="15" customHeight="1" x14ac:dyDescent="0.3">
      <c r="A247" t="s">
        <v>264</v>
      </c>
    </row>
    <row r="248" spans="1:1" ht="15" customHeight="1" x14ac:dyDescent="0.3">
      <c r="A248" t="s">
        <v>265</v>
      </c>
    </row>
    <row r="249" spans="1:1" ht="15" customHeight="1" x14ac:dyDescent="0.3">
      <c r="A249" t="s">
        <v>266</v>
      </c>
    </row>
    <row r="250" spans="1:1" ht="15" customHeight="1" x14ac:dyDescent="0.3">
      <c r="A250" t="s">
        <v>267</v>
      </c>
    </row>
    <row r="251" spans="1:1" ht="15" customHeight="1" x14ac:dyDescent="0.3">
      <c r="A251" t="s">
        <v>268</v>
      </c>
    </row>
    <row r="252" spans="1:1" ht="15" customHeight="1" x14ac:dyDescent="0.3">
      <c r="A252" t="s">
        <v>269</v>
      </c>
    </row>
    <row r="253" spans="1:1" ht="15" customHeight="1" x14ac:dyDescent="0.3">
      <c r="A253" t="s">
        <v>270</v>
      </c>
    </row>
    <row r="254" spans="1:1" ht="15" customHeight="1" x14ac:dyDescent="0.3">
      <c r="A254" t="s">
        <v>271</v>
      </c>
    </row>
    <row r="255" spans="1:1" ht="15" customHeight="1" x14ac:dyDescent="0.3">
      <c r="A255" t="s">
        <v>272</v>
      </c>
    </row>
    <row r="256" spans="1:1" ht="15" customHeight="1" x14ac:dyDescent="0.3">
      <c r="A256" t="s">
        <v>273</v>
      </c>
    </row>
    <row r="257" spans="1:1" ht="15" customHeight="1" x14ac:dyDescent="0.3">
      <c r="A257" t="s">
        <v>274</v>
      </c>
    </row>
    <row r="258" spans="1:1" ht="15" customHeight="1" x14ac:dyDescent="0.3">
      <c r="A258" t="s">
        <v>275</v>
      </c>
    </row>
    <row r="259" spans="1:1" ht="15" customHeight="1" x14ac:dyDescent="0.3">
      <c r="A259" t="s">
        <v>276</v>
      </c>
    </row>
    <row r="260" spans="1:1" ht="15" customHeight="1" x14ac:dyDescent="0.3">
      <c r="A260" t="s">
        <v>277</v>
      </c>
    </row>
    <row r="261" spans="1:1" ht="15" customHeight="1" x14ac:dyDescent="0.3">
      <c r="A261" t="s">
        <v>278</v>
      </c>
    </row>
    <row r="262" spans="1:1" ht="15" customHeight="1" x14ac:dyDescent="0.3">
      <c r="A262" t="s">
        <v>279</v>
      </c>
    </row>
    <row r="263" spans="1:1" ht="15" customHeight="1" x14ac:dyDescent="0.3">
      <c r="A263" t="s">
        <v>280</v>
      </c>
    </row>
    <row r="264" spans="1:1" ht="15" customHeight="1" x14ac:dyDescent="0.3">
      <c r="A264" t="s">
        <v>281</v>
      </c>
    </row>
    <row r="265" spans="1:1" ht="15" customHeight="1" x14ac:dyDescent="0.3">
      <c r="A265" t="s">
        <v>282</v>
      </c>
    </row>
    <row r="266" spans="1:1" ht="15" customHeight="1" x14ac:dyDescent="0.3">
      <c r="A266" t="s">
        <v>283</v>
      </c>
    </row>
    <row r="267" spans="1:1" ht="15" customHeight="1" x14ac:dyDescent="0.3">
      <c r="A267" t="s">
        <v>284</v>
      </c>
    </row>
    <row r="268" spans="1:1" ht="15" customHeight="1" x14ac:dyDescent="0.3">
      <c r="A268" t="s">
        <v>285</v>
      </c>
    </row>
    <row r="269" spans="1:1" ht="15" customHeight="1" x14ac:dyDescent="0.3">
      <c r="A269" t="s">
        <v>286</v>
      </c>
    </row>
    <row r="270" spans="1:1" ht="15" customHeight="1" x14ac:dyDescent="0.3">
      <c r="A270" t="s">
        <v>287</v>
      </c>
    </row>
    <row r="271" spans="1:1" ht="15" customHeight="1" x14ac:dyDescent="0.3">
      <c r="A271" t="s">
        <v>288</v>
      </c>
    </row>
    <row r="272" spans="1:1" ht="15" customHeight="1" x14ac:dyDescent="0.3">
      <c r="A272" t="s">
        <v>289</v>
      </c>
    </row>
    <row r="273" spans="1:1" ht="15" customHeight="1" x14ac:dyDescent="0.3">
      <c r="A273" t="s">
        <v>290</v>
      </c>
    </row>
    <row r="274" spans="1:1" ht="15" customHeight="1" x14ac:dyDescent="0.3">
      <c r="A274" t="s">
        <v>291</v>
      </c>
    </row>
    <row r="275" spans="1:1" ht="15" customHeight="1" x14ac:dyDescent="0.3">
      <c r="A275" t="s">
        <v>292</v>
      </c>
    </row>
    <row r="276" spans="1:1" ht="15" customHeight="1" x14ac:dyDescent="0.3">
      <c r="A276" t="s">
        <v>293</v>
      </c>
    </row>
    <row r="277" spans="1:1" ht="15" customHeight="1" x14ac:dyDescent="0.3">
      <c r="A277" t="s">
        <v>294</v>
      </c>
    </row>
    <row r="278" spans="1:1" ht="15" customHeight="1" x14ac:dyDescent="0.3">
      <c r="A278" t="s">
        <v>295</v>
      </c>
    </row>
    <row r="279" spans="1:1" ht="15" customHeight="1" x14ac:dyDescent="0.3">
      <c r="A279" t="s">
        <v>296</v>
      </c>
    </row>
    <row r="280" spans="1:1" ht="15" customHeight="1" x14ac:dyDescent="0.3">
      <c r="A280" t="s">
        <v>297</v>
      </c>
    </row>
    <row r="281" spans="1:1" ht="15" customHeight="1" x14ac:dyDescent="0.3">
      <c r="A281" t="s">
        <v>298</v>
      </c>
    </row>
    <row r="282" spans="1:1" ht="15" customHeight="1" x14ac:dyDescent="0.3">
      <c r="A282" t="s">
        <v>299</v>
      </c>
    </row>
    <row r="283" spans="1:1" ht="15" customHeight="1" x14ac:dyDescent="0.3">
      <c r="A283" t="s">
        <v>300</v>
      </c>
    </row>
    <row r="284" spans="1:1" ht="15" customHeight="1" x14ac:dyDescent="0.3">
      <c r="A284" t="s">
        <v>301</v>
      </c>
    </row>
    <row r="285" spans="1:1" ht="15" customHeight="1" x14ac:dyDescent="0.3">
      <c r="A285" t="s">
        <v>302</v>
      </c>
    </row>
    <row r="286" spans="1:1" ht="15" customHeight="1" x14ac:dyDescent="0.3">
      <c r="A286" t="s">
        <v>303</v>
      </c>
    </row>
    <row r="287" spans="1:1" ht="15" customHeight="1" x14ac:dyDescent="0.3">
      <c r="A287" t="s">
        <v>304</v>
      </c>
    </row>
    <row r="288" spans="1:1" ht="15" customHeight="1" x14ac:dyDescent="0.3">
      <c r="A288" t="s">
        <v>305</v>
      </c>
    </row>
    <row r="289" spans="1:1" ht="15" customHeight="1" x14ac:dyDescent="0.3">
      <c r="A289" t="s">
        <v>306</v>
      </c>
    </row>
    <row r="290" spans="1:1" ht="15" customHeight="1" x14ac:dyDescent="0.3">
      <c r="A290" t="s">
        <v>307</v>
      </c>
    </row>
    <row r="291" spans="1:1" ht="15" customHeight="1" x14ac:dyDescent="0.3">
      <c r="A291" t="s">
        <v>308</v>
      </c>
    </row>
    <row r="292" spans="1:1" ht="15" customHeight="1" x14ac:dyDescent="0.3">
      <c r="A292" t="s">
        <v>309</v>
      </c>
    </row>
    <row r="293" spans="1:1" ht="15" customHeight="1" x14ac:dyDescent="0.3">
      <c r="A293" t="s">
        <v>310</v>
      </c>
    </row>
    <row r="294" spans="1:1" ht="15" customHeight="1" x14ac:dyDescent="0.3">
      <c r="A294" t="s">
        <v>311</v>
      </c>
    </row>
    <row r="295" spans="1:1" ht="15" customHeight="1" x14ac:dyDescent="0.3">
      <c r="A295" t="s">
        <v>312</v>
      </c>
    </row>
    <row r="296" spans="1:1" ht="15" customHeight="1" x14ac:dyDescent="0.3">
      <c r="A296" t="s">
        <v>313</v>
      </c>
    </row>
    <row r="297" spans="1:1" ht="15" customHeight="1" x14ac:dyDescent="0.3">
      <c r="A297" t="s">
        <v>314</v>
      </c>
    </row>
    <row r="298" spans="1:1" ht="15" customHeight="1" x14ac:dyDescent="0.3">
      <c r="A298" t="s">
        <v>315</v>
      </c>
    </row>
    <row r="299" spans="1:1" ht="15" customHeight="1" x14ac:dyDescent="0.3">
      <c r="A299" t="s">
        <v>316</v>
      </c>
    </row>
    <row r="300" spans="1:1" ht="15" customHeight="1" x14ac:dyDescent="0.3">
      <c r="A300" t="s">
        <v>317</v>
      </c>
    </row>
    <row r="301" spans="1:1" ht="15" customHeight="1" x14ac:dyDescent="0.3">
      <c r="A301" t="s">
        <v>318</v>
      </c>
    </row>
  </sheetData>
  <autoFilter ref="A1:L301" xr:uid="{00000000-0009-0000-0000-000001000000}"/>
  <dataValidations count="6">
    <dataValidation type="list" allowBlank="1" sqref="B2:B301" xr:uid="{00000000-0002-0000-0100-000000000000}">
      <formula1>"Week 1,Week 2,Week 3"</formula1>
      <formula2>0</formula2>
    </dataValidation>
    <dataValidation type="list" allowBlank="1" sqref="D2:D301" xr:uid="{00000000-0002-0000-0100-000001000000}">
      <formula1>"METAR,SPECI,TAF,SIGMET"</formula1>
      <formula2>0</formula2>
    </dataValidation>
    <dataValidation type="list" allowBlank="1" sqref="F2:G301" xr:uid="{00000000-0002-0000-0100-000002000000}">
      <formula1>"PASS,FAIL,NOT TESTED"</formula1>
      <formula2>0</formula2>
    </dataValidation>
    <dataValidation type="list" allowBlank="1" sqref="H2:H301" xr:uid="{00000000-0002-0000-0100-000004000000}">
      <formula1>"YES,NO,UNCERTAIN"</formula1>
      <formula2>0</formula2>
    </dataValidation>
    <dataValidation type="list" allowBlank="1" sqref="I2:I301" xr:uid="{00000000-0002-0000-0100-000005000000}">
      <formula1>"Critical,Major,Minor,None"</formula1>
      <formula2>0</formula2>
    </dataValidation>
    <dataValidation type="list" allowBlank="1" sqref="L2:L301" xr:uid="{00000000-0002-0000-0100-000006000000}">
      <formula1>"PASS,FAIL,NOT RETESTED"</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zoomScaleNormal="100" workbookViewId="0">
      <pane ySplit="1" topLeftCell="A2" activePane="bottomLeft" state="frozen"/>
      <selection pane="bottomLeft" activeCell="C25" sqref="C25"/>
    </sheetView>
  </sheetViews>
  <sheetFormatPr defaultColWidth="8.6640625" defaultRowHeight="15" customHeight="1" x14ac:dyDescent="0.3"/>
  <cols>
    <col min="1" max="1" width="16" customWidth="1"/>
    <col min="2" max="2" width="34" customWidth="1"/>
    <col min="3" max="5" width="18" customWidth="1"/>
    <col min="6" max="8" width="14" customWidth="1"/>
  </cols>
  <sheetData>
    <row r="1" spans="1:8" ht="15" customHeight="1" x14ac:dyDescent="0.3">
      <c r="A1" s="4" t="s">
        <v>7</v>
      </c>
      <c r="B1" s="4" t="s">
        <v>319</v>
      </c>
      <c r="C1" s="4" t="s">
        <v>320</v>
      </c>
      <c r="D1" s="4" t="s">
        <v>321</v>
      </c>
      <c r="E1" s="4" t="s">
        <v>322</v>
      </c>
      <c r="F1" s="4" t="s">
        <v>323</v>
      </c>
      <c r="G1" s="4" t="s">
        <v>324</v>
      </c>
      <c r="H1" s="4" t="s">
        <v>325</v>
      </c>
    </row>
    <row r="2" spans="1:8" ht="15" customHeight="1" x14ac:dyDescent="0.3">
      <c r="A2" t="s">
        <v>17</v>
      </c>
      <c r="B2">
        <f>COUNTIF('Test Log'!$D$2:$D$1000,A2)</f>
        <v>24</v>
      </c>
      <c r="C2">
        <f>COUNTIFS('Test Log'!$D$2:$D$1000,A2,'Test Log'!$F$2:$F$1000,"PASS")</f>
        <v>21</v>
      </c>
      <c r="D2">
        <f>COUNTIFS('Test Log'!$D$2:$D$1000,A2,'Test Log'!$G$2:$G$1000,"PASS")</f>
        <v>0</v>
      </c>
      <c r="E2">
        <f>COUNTIFS('Test Log'!$D$2:$D$1000,A2,'Test Log'!$H$2:$H$1000,"YES")</f>
        <v>12</v>
      </c>
      <c r="F2">
        <f>COUNTIFS('Test Log'!$D$2:$D$1000,A2,'Test Log'!$I$2:$I$1000,"Critical")</f>
        <v>6</v>
      </c>
      <c r="G2">
        <f>COUNTIFS('Test Log'!$D$2:$D$1000,A2,'Test Log'!$I$2:$I$1000,"Major")</f>
        <v>17</v>
      </c>
      <c r="H2">
        <f>COUNTIFS('Test Log'!$D$2:$D$1000,A2,'Test Log'!$I$2:$I$1000,"Minor")</f>
        <v>0</v>
      </c>
    </row>
    <row r="3" spans="1:8" ht="15" customHeight="1" x14ac:dyDescent="0.3">
      <c r="A3" t="s">
        <v>326</v>
      </c>
      <c r="B3">
        <f>COUNTIF('Test Log'!$D$2:$D$1000,A3)</f>
        <v>6</v>
      </c>
      <c r="C3">
        <f>COUNTIFS('Test Log'!$D$2:$D$1000,A3,'Test Log'!$F$2:$F$1000,"PASS")</f>
        <v>3</v>
      </c>
      <c r="D3">
        <f>COUNTIFS('Test Log'!$D$2:$D$1000,A3,'Test Log'!$G$2:$G$1000,"PASS")</f>
        <v>0</v>
      </c>
      <c r="E3">
        <f>COUNTIFS('Test Log'!$D$2:$D$1000,A3,'Test Log'!$H$2:$H$1000,"YES")</f>
        <v>0</v>
      </c>
      <c r="F3">
        <f>COUNTIFS('Test Log'!$D$2:$D$1000,A3,'Test Log'!$I$2:$I$1000,"Critical")</f>
        <v>3</v>
      </c>
      <c r="G3">
        <f>COUNTIFS('Test Log'!$D$2:$D$1000,A3,'Test Log'!$I$2:$I$1000,"Major")</f>
        <v>3</v>
      </c>
      <c r="H3">
        <f>COUNTIFS('Test Log'!$D$2:$D$1000,A3,'Test Log'!$I$2:$I$1000,"Minor")</f>
        <v>0</v>
      </c>
    </row>
    <row r="4" spans="1:8" ht="15" customHeight="1" x14ac:dyDescent="0.3">
      <c r="A4" t="s">
        <v>327</v>
      </c>
      <c r="B4">
        <f>COUNTIF('Test Log'!$D$2:$D$1000,A4)</f>
        <v>12</v>
      </c>
      <c r="C4">
        <f>COUNTIFS('Test Log'!$D$2:$D$1000,A4,'Test Log'!$F$2:$F$1000,"PASS")</f>
        <v>5</v>
      </c>
      <c r="D4">
        <f>COUNTIFS('Test Log'!$D$2:$D$1000,A4,'Test Log'!$G$2:$G$1000,"PASS")</f>
        <v>0</v>
      </c>
      <c r="E4">
        <f>COUNTIFS('Test Log'!$D$2:$D$1000,A4,'Test Log'!$H$2:$H$1000,"YES")</f>
        <v>3</v>
      </c>
      <c r="F4">
        <f>COUNTIFS('Test Log'!$D$2:$D$1000,A4,'Test Log'!$I$2:$I$1000,"Critical")</f>
        <v>8</v>
      </c>
      <c r="G4">
        <f>COUNTIFS('Test Log'!$D$2:$D$1000,A4,'Test Log'!$I$2:$I$1000,"Major")</f>
        <v>4</v>
      </c>
      <c r="H4">
        <f>COUNTIFS('Test Log'!$D$2:$D$1000,A4,'Test Log'!$I$2:$I$1000,"Minor")</f>
        <v>0</v>
      </c>
    </row>
    <row r="5" spans="1:8" ht="15" customHeight="1" x14ac:dyDescent="0.3">
      <c r="A5" t="s">
        <v>328</v>
      </c>
      <c r="B5">
        <f>COUNTIF('Test Log'!$D$2:$D$1000,A5)</f>
        <v>7</v>
      </c>
      <c r="C5">
        <f>COUNTIFS('Test Log'!$D$2:$D$1000,A5,'Test Log'!$F$2:$F$1000,"PASS")</f>
        <v>0</v>
      </c>
      <c r="D5">
        <f>COUNTIFS('Test Log'!$D$2:$D$1000,A5,'Test Log'!$G$2:$G$1000,"PASS")</f>
        <v>0</v>
      </c>
      <c r="E5">
        <f>COUNTIFS('Test Log'!$D$2:$D$1000,A5,'Test Log'!$H$2:$H$1000,"YES")</f>
        <v>0</v>
      </c>
      <c r="F5">
        <f>COUNTIFS('Test Log'!$D$2:$D$1000,A5,'Test Log'!$I$2:$I$1000,"Critical")</f>
        <v>7</v>
      </c>
      <c r="G5">
        <f>COUNTIFS('Test Log'!$D$2:$D$1000,A5,'Test Log'!$I$2:$I$1000,"Major")</f>
        <v>0</v>
      </c>
      <c r="H5">
        <f>COUNTIFS('Test Log'!$D$2:$D$1000,A5,'Test Log'!$I$2:$I$1000,"Minor")</f>
        <v>0</v>
      </c>
    </row>
    <row r="6" spans="1:8" ht="15" customHeight="1" x14ac:dyDescent="0.3">
      <c r="A6" t="s">
        <v>329</v>
      </c>
      <c r="B6">
        <f t="shared" ref="B6:H6" si="0">SUM(B2:B5)</f>
        <v>49</v>
      </c>
      <c r="C6">
        <f t="shared" si="0"/>
        <v>29</v>
      </c>
      <c r="D6">
        <f t="shared" si="0"/>
        <v>0</v>
      </c>
      <c r="E6">
        <f t="shared" si="0"/>
        <v>15</v>
      </c>
      <c r="F6">
        <f t="shared" si="0"/>
        <v>24</v>
      </c>
      <c r="G6">
        <f t="shared" si="0"/>
        <v>24</v>
      </c>
      <c r="H6">
        <f t="shared" si="0"/>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
  <sheetViews>
    <sheetView zoomScaleNormal="100" workbookViewId="0">
      <pane ySplit="1" topLeftCell="A2" activePane="bottomLeft" state="frozen"/>
      <selection pane="bottomLeft" activeCell="C7" sqref="C7"/>
    </sheetView>
  </sheetViews>
  <sheetFormatPr defaultColWidth="8.6640625" defaultRowHeight="15" customHeight="1" x14ac:dyDescent="0.3"/>
  <cols>
    <col min="1" max="1" width="14" customWidth="1"/>
    <col min="2" max="2" width="40" customWidth="1"/>
    <col min="3" max="5" width="18" customWidth="1"/>
    <col min="6" max="6" width="16" customWidth="1"/>
    <col min="7" max="9" width="14" customWidth="1"/>
  </cols>
  <sheetData>
    <row r="1" spans="1:9" ht="15" customHeight="1" x14ac:dyDescent="0.3">
      <c r="A1" s="4" t="s">
        <v>5</v>
      </c>
      <c r="B1" s="4" t="s">
        <v>330</v>
      </c>
      <c r="C1" s="4" t="s">
        <v>319</v>
      </c>
      <c r="D1" s="4" t="s">
        <v>320</v>
      </c>
      <c r="E1" s="4" t="s">
        <v>321</v>
      </c>
      <c r="F1" s="4" t="s">
        <v>322</v>
      </c>
      <c r="G1" s="4" t="s">
        <v>323</v>
      </c>
      <c r="H1" s="4" t="s">
        <v>324</v>
      </c>
      <c r="I1" s="4" t="s">
        <v>325</v>
      </c>
    </row>
    <row r="2" spans="1:9" ht="15" customHeight="1" x14ac:dyDescent="0.3">
      <c r="A2" t="s">
        <v>16</v>
      </c>
      <c r="B2" t="s">
        <v>331</v>
      </c>
      <c r="C2">
        <f>COUNTIF('Test Log'!$B$2:$B$1000,A2)</f>
        <v>19</v>
      </c>
      <c r="D2">
        <f>COUNTIFS('Test Log'!$B$2:$B$1000,A2,'Test Log'!$F$2:$F$1000,"PASS")</f>
        <v>12</v>
      </c>
      <c r="E2">
        <f>COUNTIFS('Test Log'!$B$2:$B$1000,A2,'Test Log'!$G$2:$G$1000,"PASS")</f>
        <v>0</v>
      </c>
      <c r="F2">
        <f>COUNTIFS('Test Log'!$B$2:$B$1000,A2,'Test Log'!$H$2:$H$1000,"YES")</f>
        <v>1</v>
      </c>
      <c r="G2">
        <f>COUNTIFS('Test Log'!$B$2:$B$1000,A2,'Test Log'!$I$2:$I$1000,"Critical")</f>
        <v>8</v>
      </c>
      <c r="H2">
        <f>COUNTIFS('Test Log'!$B$2:$B$1000,A2,'Test Log'!$I$2:$I$1000,"Major")</f>
        <v>10</v>
      </c>
      <c r="I2">
        <f>COUNTIFS('Test Log'!$B$2:$B$1000,A2,'Test Log'!$I$2:$I$1000,"Minor")</f>
        <v>0</v>
      </c>
    </row>
    <row r="3" spans="1:9" ht="15" customHeight="1" x14ac:dyDescent="0.3">
      <c r="A3" t="s">
        <v>20</v>
      </c>
      <c r="B3" t="s">
        <v>332</v>
      </c>
      <c r="C3">
        <f>COUNTIF('Test Log'!$B$2:$B$1000,A3)</f>
        <v>26</v>
      </c>
      <c r="D3">
        <f>COUNTIFS('Test Log'!$B$2:$B$1000,A3,'Test Log'!$F$2:$F$1000,"PASS")</f>
        <v>14</v>
      </c>
      <c r="E3">
        <f>COUNTIFS('Test Log'!$B$2:$B$1000,A3,'Test Log'!$G$2:$G$1000,"PASS")</f>
        <v>0</v>
      </c>
      <c r="F3">
        <f>COUNTIFS('Test Log'!$B$2:$B$1000,A3,'Test Log'!$H$2:$H$1000,"YES")</f>
        <v>12</v>
      </c>
      <c r="G3">
        <f>COUNTIFS('Test Log'!$B$2:$B$1000,A3,'Test Log'!$I$2:$I$1000,"Critical")</f>
        <v>16</v>
      </c>
      <c r="H3">
        <f>COUNTIFS('Test Log'!$B$2:$B$1000,A3,'Test Log'!$I$2:$I$1000,"Major")</f>
        <v>10</v>
      </c>
      <c r="I3">
        <f>COUNTIFS('Test Log'!$B$2:$B$1000,A3,'Test Log'!$I$2:$I$1000,"Minor")</f>
        <v>0</v>
      </c>
    </row>
    <row r="4" spans="1:9" ht="15" customHeight="1" x14ac:dyDescent="0.3">
      <c r="A4" t="s">
        <v>333</v>
      </c>
      <c r="B4" t="s">
        <v>334</v>
      </c>
      <c r="C4">
        <f>COUNTIF('Test Log'!$B$2:$B$1000,A4)</f>
        <v>4</v>
      </c>
      <c r="D4">
        <f>COUNTIFS('Test Log'!$B$2:$B$1000,A4,'Test Log'!$F$2:$F$1000,"PASS")</f>
        <v>3</v>
      </c>
      <c r="E4">
        <f>COUNTIFS('Test Log'!$B$2:$B$1000,A4,'Test Log'!$G$2:$G$1000,"PASS")</f>
        <v>0</v>
      </c>
      <c r="F4">
        <f>COUNTIFS('Test Log'!$B$2:$B$1000,A4,'Test Log'!$H$2:$H$1000,"YES")</f>
        <v>2</v>
      </c>
      <c r="G4">
        <f>COUNTIFS('Test Log'!$B$2:$B$1000,A4,'Test Log'!$I$2:$I$1000,"Critical")</f>
        <v>0</v>
      </c>
      <c r="H4">
        <f>COUNTIFS('Test Log'!$B$2:$B$1000,A4,'Test Log'!$I$2:$I$1000,"Major")</f>
        <v>4</v>
      </c>
      <c r="I4">
        <f>COUNTIFS('Test Log'!$B$2:$B$1000,A4,'Test Log'!$I$2:$I$1000,"Minor")</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Test Log</vt:lpstr>
      <vt:lpstr>Summary</vt:lpstr>
      <vt:lpstr>Weekly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D.Ramlakhan</cp:lastModifiedBy>
  <cp:revision>0</cp:revision>
  <dcterms:created xsi:type="dcterms:W3CDTF">2026-09-08T15:46:27Z</dcterms:created>
  <dcterms:modified xsi:type="dcterms:W3CDTF">2026-10-01T04:29:53Z</dcterms:modified>
  <dc:language>en-US</dc:language>
</cp:coreProperties>
</file>