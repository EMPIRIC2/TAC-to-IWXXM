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fd8d8d52b88b24d1/Desktop/IWXXM_TESTING/"/>
    </mc:Choice>
  </mc:AlternateContent>
  <xr:revisionPtr revIDLastSave="329" documentId="8_{B3590EF7-4D46-4F75-A1F2-745B32EBB9CB}" xr6:coauthVersionLast="47" xr6:coauthVersionMax="47" xr10:uidLastSave="{8B8EBA88-05C0-457C-85E4-BBFB27CD7A94}"/>
  <bookViews>
    <workbookView xWindow="12348" yWindow="-13068" windowWidth="23256" windowHeight="12456" activeTab="2" xr2:uid="{00000000-000D-0000-FFFF-FFFF00000000}"/>
  </bookViews>
  <sheets>
    <sheet name="Instructions" sheetId="1" r:id="rId1"/>
    <sheet name="Test Log" sheetId="2" r:id="rId2"/>
    <sheet name="Summary" sheetId="3" r:id="rId3"/>
    <sheet name="Weekly Summary" sheetId="4" r:id="rId4"/>
  </sheets>
  <definedNames>
    <definedName name="_xlnm._FilterDatabase" localSheetId="1" hidden="1">'Test Log'!$A$1:$L$301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4" l="1"/>
  <c r="H4" i="4"/>
  <c r="G4" i="4"/>
  <c r="F4" i="4"/>
  <c r="E4" i="4"/>
  <c r="D4" i="4"/>
  <c r="C4" i="4"/>
  <c r="I3" i="4"/>
  <c r="H3" i="4"/>
  <c r="G3" i="4"/>
  <c r="F3" i="4"/>
  <c r="E3" i="4"/>
  <c r="D3" i="4"/>
  <c r="C3" i="4"/>
  <c r="I2" i="4"/>
  <c r="H2" i="4"/>
  <c r="G2" i="4"/>
  <c r="F2" i="4"/>
  <c r="E2" i="4"/>
  <c r="D2" i="4"/>
  <c r="C2" i="4"/>
  <c r="H5" i="3"/>
  <c r="G5" i="3"/>
  <c r="F5" i="3"/>
  <c r="E5" i="3"/>
  <c r="D5" i="3"/>
  <c r="C5" i="3"/>
  <c r="B5" i="3"/>
  <c r="H4" i="3"/>
  <c r="G4" i="3"/>
  <c r="F4" i="3"/>
  <c r="E4" i="3"/>
  <c r="D4" i="3"/>
  <c r="C4" i="3"/>
  <c r="B4" i="3"/>
  <c r="H3" i="3"/>
  <c r="G3" i="3"/>
  <c r="F3" i="3"/>
  <c r="E3" i="3"/>
  <c r="D3" i="3"/>
  <c r="C3" i="3"/>
  <c r="B3" i="3"/>
  <c r="H2" i="3"/>
  <c r="G2" i="3"/>
  <c r="F2" i="3"/>
  <c r="E2" i="3"/>
  <c r="D2" i="3"/>
  <c r="C2" i="3"/>
  <c r="B2" i="3"/>
  <c r="D6" i="3" l="1"/>
  <c r="C6" i="3"/>
  <c r="G6" i="3"/>
  <c r="H6" i="3"/>
  <c r="E6" i="3"/>
  <c r="F6" i="3"/>
  <c r="B6" i="3"/>
</calcChain>
</file>

<file path=xl/sharedStrings.xml><?xml version="1.0" encoding="utf-8"?>
<sst xmlns="http://schemas.openxmlformats.org/spreadsheetml/2006/main" count="859" uniqueCount="459">
  <si>
    <t>How to use the Test Log</t>
  </si>
  <si>
    <t>Enter one test per row on the 'Test Log' sheet. The Summary and Weekly Summary sheets calculate automatically from those entries.</t>
  </si>
  <si>
    <t>Use the drop-down lists for Week, Product, Translation Result, IWXXM Validation, Accuracy and Severity to ensure the formulas count results consistently.</t>
  </si>
  <si>
    <t>For a failed or questionable result, also complete an Error Report and reference the file/screenshot in the Test Log.</t>
  </si>
  <si>
    <t>Test ID</t>
  </si>
  <si>
    <t>Week</t>
  </si>
  <si>
    <t>Date</t>
  </si>
  <si>
    <t>Product</t>
  </si>
  <si>
    <t>TAC Message / Reference</t>
  </si>
  <si>
    <t>Translation Result</t>
  </si>
  <si>
    <t>IWXXM Validation</t>
  </si>
  <si>
    <t>TAC vs IWXXM Accurate?</t>
  </si>
  <si>
    <t>Severity</t>
  </si>
  <si>
    <t>Issue / Comment</t>
  </si>
  <si>
    <t>Screenshot / File Reference</t>
  </si>
  <si>
    <t>Retest Result</t>
  </si>
  <si>
    <t>Week 1</t>
  </si>
  <si>
    <t>METAR</t>
  </si>
  <si>
    <t>TTPP</t>
  </si>
  <si>
    <t>PASS</t>
  </si>
  <si>
    <t>YES</t>
  </si>
  <si>
    <t>None</t>
  </si>
  <si>
    <t>Week 2</t>
  </si>
  <si>
    <t>T031</t>
  </si>
  <si>
    <t>T032</t>
  </si>
  <si>
    <t>T035</t>
  </si>
  <si>
    <t>T036</t>
  </si>
  <si>
    <t>T037</t>
  </si>
  <si>
    <t>T038</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</si>
  <si>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</si>
  <si>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</si>
  <si>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</si>
  <si>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</si>
  <si>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</si>
  <si>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</si>
  <si>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</si>
  <si>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</si>
  <si>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</si>
  <si>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</si>
  <si>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</si>
  <si>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</si>
  <si>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</si>
  <si>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</si>
  <si>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</si>
  <si>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</si>
  <si>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</si>
  <si>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</si>
  <si>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</si>
  <si>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</si>
  <si>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</si>
  <si>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</si>
  <si>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</si>
  <si>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</si>
  <si>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</si>
  <si>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</si>
  <si>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</si>
  <si>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</si>
  <si>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</si>
  <si>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</si>
  <si>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</si>
  <si>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</si>
  <si>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</si>
  <si>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</si>
  <si>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</si>
  <si>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</si>
  <si>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</si>
  <si>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</si>
  <si>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</si>
  <si>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</si>
  <si>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</si>
  <si>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</si>
  <si>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</si>
  <si>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</si>
  <si>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</si>
  <si>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</si>
  <si>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</si>
  <si>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</si>
  <si>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</si>
  <si>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</si>
  <si>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</si>
  <si>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</si>
  <si>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</si>
  <si>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</si>
  <si>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</si>
  <si>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</si>
  <si>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</si>
  <si>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</si>
  <si>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</si>
  <si>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</si>
  <si>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</si>
  <si>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</si>
  <si>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</si>
  <si>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</si>
  <si>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</si>
  <si>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</si>
  <si>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</si>
  <si>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</si>
  <si>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</si>
  <si>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</si>
  <si>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</si>
  <si>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</si>
  <si>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</si>
  <si>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</si>
  <si>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</si>
  <si>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</si>
  <si>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</si>
  <si>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</si>
  <si>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</si>
  <si>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</si>
  <si>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</si>
  <si>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</si>
  <si>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</si>
  <si>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</si>
  <si>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</si>
  <si>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</si>
  <si>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</si>
  <si>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</si>
  <si>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</si>
  <si>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</si>
  <si>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</si>
  <si>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</si>
  <si>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</si>
  <si>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</si>
  <si>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</si>
  <si>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</si>
  <si>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</si>
  <si>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</si>
  <si>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</si>
  <si>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</si>
  <si>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</si>
  <si>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</si>
  <si>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</si>
  <si>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</si>
  <si>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</si>
  <si>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</si>
  <si>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</si>
  <si>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</si>
  <si>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</si>
  <si>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</si>
  <si>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</si>
  <si>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</si>
  <si>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</si>
  <si>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</si>
  <si>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</si>
  <si>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</si>
  <si>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</si>
  <si>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</si>
  <si>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</si>
  <si>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</si>
  <si>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</si>
  <si>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</si>
  <si>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</si>
  <si>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</si>
  <si>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</si>
  <si>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</si>
  <si>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</si>
  <si>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</si>
  <si>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</si>
  <si>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</si>
  <si>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</si>
  <si>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</si>
  <si>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</si>
  <si>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</si>
  <si>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</si>
  <si>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</si>
  <si>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</si>
  <si>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</si>
  <si>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</si>
  <si>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</si>
  <si>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</si>
  <si>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</si>
  <si>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</si>
  <si>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</si>
  <si>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</si>
  <si>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</si>
  <si>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</si>
  <si>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</si>
  <si>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</si>
  <si>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</si>
  <si>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</si>
  <si>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</si>
  <si>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</si>
  <si>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</si>
  <si>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</si>
  <si>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</si>
  <si>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</si>
  <si>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</si>
  <si>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</si>
  <si>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</si>
  <si>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</si>
  <si>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</si>
  <si>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</si>
  <si>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</si>
  <si>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</si>
  <si>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</si>
  <si>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</si>
  <si>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</si>
  <si>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</si>
  <si>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</si>
  <si>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</si>
  <si>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</si>
  <si>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</si>
  <si>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</si>
  <si>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</si>
  <si>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</si>
  <si>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</si>
  <si>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</si>
  <si>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</si>
  <si>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</si>
  <si>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</si>
  <si>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</si>
  <si>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</si>
  <si>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</si>
  <si>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</si>
  <si>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</si>
  <si>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</si>
  <si>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</si>
  <si>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</si>
  <si>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</si>
  <si>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</si>
  <si>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</si>
  <si>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</si>
  <si>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</si>
  <si>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</si>
  <si>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</si>
  <si>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</si>
  <si>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</si>
  <si>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</si>
  <si>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</si>
  <si>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</si>
  <si>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</si>
  <si>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</si>
  <si>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</si>
  <si>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</si>
  <si>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</si>
  <si>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</si>
  <si>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</si>
  <si>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</si>
  <si>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</si>
  <si>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</si>
  <si>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</si>
  <si>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</si>
  <si>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</si>
  <si>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</si>
  <si>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</si>
  <si>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</si>
  <si>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</si>
  <si>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</si>
  <si>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</si>
  <si>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</si>
  <si>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</si>
  <si>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</si>
  <si>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</si>
  <si>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</si>
  <si>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</si>
  <si>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</si>
  <si>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</si>
  <si>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</si>
  <si>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</si>
  <si>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</si>
  <si>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</si>
  <si>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</si>
  <si>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</si>
  <si>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</si>
  <si>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</si>
  <si>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</si>
  <si>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</si>
  <si>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</si>
  <si>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</si>
  <si>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</si>
  <si>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</si>
  <si>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</si>
  <si>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</si>
  <si>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</si>
  <si>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</si>
  <si>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</si>
  <si>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</si>
  <si>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</si>
  <si>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</si>
  <si>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Messages Tested</t>
  </si>
  <si>
    <t>Translation PASS</t>
  </si>
  <si>
    <t>Validation PASS</t>
  </si>
  <si>
    <t>Accuracy YES</t>
  </si>
  <si>
    <t>Critical</t>
  </si>
  <si>
    <t>Major</t>
  </si>
  <si>
    <t>Minor</t>
  </si>
  <si>
    <t>SPECI</t>
  </si>
  <si>
    <t>TAF</t>
  </si>
  <si>
    <t>SIGMET</t>
  </si>
  <si>
    <t>TOTAL</t>
  </si>
  <si>
    <t>Purpose</t>
  </si>
  <si>
    <t>Familiarisation and basic functionality</t>
  </si>
  <si>
    <t>Operational parallel testing</t>
  </si>
  <si>
    <t>Week 3</t>
  </si>
  <si>
    <t>Error testing and final evaluation</t>
  </si>
  <si>
    <t>T001(EXAMPLE-See Instructions Sheet)</t>
  </si>
  <si>
    <t>T002 (CMO set)</t>
  </si>
  <si>
    <t>FAIL</t>
  </si>
  <si>
    <t>T002Screenshots_Folder</t>
  </si>
  <si>
    <t>T004 (CMO Set)</t>
  </si>
  <si>
    <t>T003 (CMO Set)</t>
  </si>
  <si>
    <t>T005  (CMO Set)</t>
  </si>
  <si>
    <t>T006  (CMO Set)</t>
  </si>
  <si>
    <t>T007  (CMO Set)</t>
  </si>
  <si>
    <t>T008  (CMO Set)</t>
  </si>
  <si>
    <t>NO</t>
  </si>
  <si>
    <t>Same as above.</t>
  </si>
  <si>
    <t xml:space="preserve">IWXXM passed on the soft preview but failures reported when validated. IWXXM does not include the change indicators. </t>
  </si>
  <si>
    <t>NOT RETESTED</t>
  </si>
  <si>
    <t>T003_Screenshots_Folder</t>
  </si>
  <si>
    <t>T004_Folder</t>
  </si>
  <si>
    <t>T005_Folder</t>
  </si>
  <si>
    <t>NOT TESTED</t>
  </si>
  <si>
    <t>TTPP 081600Z</t>
  </si>
  <si>
    <t>TTCP 081600Z</t>
  </si>
  <si>
    <t>TUPJ 081100Z</t>
  </si>
  <si>
    <t>TKPK 081100Z</t>
  </si>
  <si>
    <t>TKPN 081100Z</t>
  </si>
  <si>
    <t>TLPL 080500Z</t>
  </si>
  <si>
    <t>TLPC 080500Z</t>
  </si>
  <si>
    <t xml:space="preserve">TRPG 081100Z </t>
  </si>
  <si>
    <t xml:space="preserve">TAPA 081100Z </t>
  </si>
  <si>
    <t xml:space="preserve">TDPD 081100Z </t>
  </si>
  <si>
    <t xml:space="preserve">TGPY 081600Z </t>
  </si>
  <si>
    <t xml:space="preserve">TVSA 081100Z </t>
  </si>
  <si>
    <t xml:space="preserve">TBPB 081100Z </t>
  </si>
  <si>
    <t xml:space="preserve">MZBZ 081500Z </t>
  </si>
  <si>
    <t xml:space="preserve">MKJP 081115Z </t>
  </si>
  <si>
    <t xml:space="preserve">MKJS 081115Z </t>
  </si>
  <si>
    <t xml:space="preserve">TQPF 081100Z </t>
  </si>
  <si>
    <t xml:space="preserve">MWCR 081100Z </t>
  </si>
  <si>
    <t xml:space="preserve">TNCM 081615Z </t>
  </si>
  <si>
    <t xml:space="preserve">MBPV 081100Z </t>
  </si>
  <si>
    <t xml:space="preserve">MBGT 081100Z </t>
  </si>
  <si>
    <t xml:space="preserve">No change indicators in the XML. Does not highlight the issue of no conditions stated after the TEMPO. </t>
  </si>
  <si>
    <t>Typo was indicated as a residual; did not identify TS as a significant wx condition and sent to residual instead; did not higlight incorrect construct (missing CB with TS)</t>
  </si>
  <si>
    <t>T006_Folder</t>
  </si>
  <si>
    <t>T007_Folder</t>
  </si>
  <si>
    <t>T012_Folder</t>
  </si>
  <si>
    <t>T019_Folder</t>
  </si>
  <si>
    <t xml:space="preserve">IWXXM passed on the soft preview but IWXXM validation reported failures. IWXXM decode is correct except for the year and month. </t>
  </si>
  <si>
    <t>TTPP 081500Z</t>
  </si>
  <si>
    <t>TTPP 080700Z</t>
  </si>
  <si>
    <t>When the WMO heading (FTCA31...) was included in the console, the TAC failed to be read. Was able to proceed whrn the heading was removed. IWXXM passed on the soft preview but failures reported when validated. IWXXM does not include the change indicators. Prototype does not flag the missing time period after the change indicator as an issue.  Year and month indicated on the xml is inaccurate - this is considered minor as month and yr not coded in the original message. Uncertain why the validation results returned this - Failed: AIRPORT_ICAO, since the ICAO  airport code is correct</t>
  </si>
  <si>
    <t>T009 (CMO set)</t>
  </si>
  <si>
    <t>T010 (CMO set)</t>
  </si>
  <si>
    <t>T011 (CMO set)</t>
  </si>
  <si>
    <t>T012 (CMO set)</t>
  </si>
  <si>
    <t>T013 (CMO set)</t>
  </si>
  <si>
    <t>T014 (CMO set)</t>
  </si>
  <si>
    <t>T015 (CMO set)</t>
  </si>
  <si>
    <t>T016 (CMO set)</t>
  </si>
  <si>
    <t>T017 (CMO set)</t>
  </si>
  <si>
    <t>T018 (CMO set)</t>
  </si>
  <si>
    <t>T019 (CMO set)</t>
  </si>
  <si>
    <t>T020 (CMO set)</t>
  </si>
  <si>
    <t>T021 (CMO set)</t>
  </si>
  <si>
    <t>T022 (CMO set)</t>
  </si>
  <si>
    <t>T023 (CMO set)</t>
  </si>
  <si>
    <t>T024 (CMO set)</t>
  </si>
  <si>
    <t>TTPP 071800</t>
  </si>
  <si>
    <t xml:space="preserve">Does not include the variation in wind direction but lists it as a residual. </t>
  </si>
  <si>
    <t>T023_Folder</t>
  </si>
  <si>
    <t>T024_Folder</t>
  </si>
  <si>
    <t>T025_Folder</t>
  </si>
  <si>
    <t>T026_Folder</t>
  </si>
  <si>
    <t xml:space="preserve">TGPY 072000Z </t>
  </si>
  <si>
    <t xml:space="preserve">Flags VCSH as invalid. </t>
  </si>
  <si>
    <t>TUPJ 080100Z</t>
  </si>
  <si>
    <t xml:space="preserve">Did not code th TREND but kept it as a residual. Even though QNH was listed after RMK, it was still translated correctly and not put as a residual. </t>
  </si>
  <si>
    <t>T027_Folder</t>
  </si>
  <si>
    <t>T028_Folder</t>
  </si>
  <si>
    <t xml:space="preserve"> TTPP 080020Z</t>
  </si>
  <si>
    <t>TBPB 081510Z</t>
  </si>
  <si>
    <t>T029_Folder</t>
  </si>
  <si>
    <t>IWXXM Validation reported failures.</t>
  </si>
  <si>
    <t>T030_Folder</t>
  </si>
  <si>
    <t>TBPB 251705Z</t>
  </si>
  <si>
    <t>Flags VCSH as invalid. Did not include significan SPECI conditions in IWXXM  decode; neglected to indicate TSRA as the trend expected  but included it as present weather.</t>
  </si>
  <si>
    <t xml:space="preserve">TTPP 251435 </t>
  </si>
  <si>
    <t>TTPP 141815</t>
  </si>
  <si>
    <t>Erroneously flags VCSH as invalid weather; identifies it as a residual. The source document WMO-360, for this flagged error, clearly states VCSH is acceptable so flagging this as an error is contradictory. Validation reported failures. Wrt RMKS as a residual, switching to US profile as indicated by the prototype, to retain the remarks, still lists the rmks as a residual. As a national practice, RMKS are included in the METAR.</t>
  </si>
  <si>
    <t>Did not receive any "validation failures reported" pop-ups as with tests on previous bulletins so uncertain of the validation passed or failed; kept the "DECR"outlook as a residual. Outlook changed to WKN and was accepted..</t>
  </si>
  <si>
    <t>Did not include relevant information of SIGMET sequence number and movement directions in translation but kept as residuals.</t>
  </si>
  <si>
    <t>TTPP 261150</t>
  </si>
  <si>
    <t>TTPP 011340</t>
  </si>
  <si>
    <t>SYCJ 081450</t>
  </si>
  <si>
    <t>KKCI 182003</t>
  </si>
  <si>
    <t>KKCI 182248</t>
  </si>
  <si>
    <t>GOOY 182236</t>
  </si>
  <si>
    <t>MHTG 182310</t>
  </si>
  <si>
    <t>WIII 081135</t>
  </si>
  <si>
    <t>SBGL 081525</t>
  </si>
  <si>
    <t>SYCJ 081650</t>
  </si>
  <si>
    <t>TFFF 081700</t>
  </si>
  <si>
    <t>TFFF 081704</t>
  </si>
  <si>
    <t>MDSD 101115</t>
  </si>
  <si>
    <t>MUHA 101200</t>
  </si>
  <si>
    <t>MPTO 101248</t>
  </si>
  <si>
    <t>Did not receive any "validation failures reported" pop-ups as with tests on previous bulletins; multiple information was left as residuals; flags CNL as an error the Source ICAO document for the error highlighted, supports the original format of the SIGMET so flagging the CNL format used in the original SIGMET is contradictory</t>
  </si>
  <si>
    <t>No residuals listed in the TAC decode; decoded IWXXM only contained limited information and not critical part of SIGMET</t>
  </si>
  <si>
    <t>UNCERTAIN</t>
  </si>
  <si>
    <t>Conversion error received. Unable to convert even after  attempts were made to edit SIGMET and the exchage profil was switched to Global AFS to obtain conversion.</t>
  </si>
  <si>
    <t>T025  (CMO set)</t>
  </si>
  <si>
    <t>T026  (CMO set)</t>
  </si>
  <si>
    <t>T027  (CMO set)</t>
  </si>
  <si>
    <t>T028  (CMO set)</t>
  </si>
  <si>
    <t>T029  (CMO set)</t>
  </si>
  <si>
    <t>T030  (CMO set)</t>
  </si>
  <si>
    <t>T031  (CMO set)</t>
  </si>
  <si>
    <t>T032  (CMO set)</t>
  </si>
  <si>
    <t>T033  (CMO set)</t>
  </si>
  <si>
    <t>T034  (CMO set)</t>
  </si>
  <si>
    <t>T035  (CMO set)</t>
  </si>
  <si>
    <t>T036  (CMO set)</t>
  </si>
  <si>
    <t>T037  (CMO set)</t>
  </si>
  <si>
    <t>T038  (CMO set)</t>
  </si>
  <si>
    <t>T039 (CMO set)</t>
  </si>
  <si>
    <t>T040 (CMO set)</t>
  </si>
  <si>
    <t>T041 (CMO set)</t>
  </si>
  <si>
    <t>T042  (CMO set)</t>
  </si>
  <si>
    <t>T043  (CMO set)</t>
  </si>
  <si>
    <t>T044  (CMO set)</t>
  </si>
  <si>
    <t>T045  (CMO set)</t>
  </si>
  <si>
    <t>T046  (CMO set)</t>
  </si>
  <si>
    <t>T047  (CMO set)</t>
  </si>
  <si>
    <t>T048  (CMO set)</t>
  </si>
  <si>
    <t>T049  (CMO set)</t>
  </si>
  <si>
    <t>T050  (CMO set)</t>
  </si>
  <si>
    <t>TTPP 1200</t>
  </si>
  <si>
    <t>TTPP 1300</t>
  </si>
  <si>
    <t>TTPP 1400</t>
  </si>
  <si>
    <t>TTPP 1500</t>
  </si>
  <si>
    <t>TTPP 1600</t>
  </si>
  <si>
    <t>TTPP 1700</t>
  </si>
  <si>
    <t>TTPP 1800</t>
  </si>
  <si>
    <t>TTPP 1900</t>
  </si>
  <si>
    <t>TTPP 2000</t>
  </si>
  <si>
    <t>TTPP 2100</t>
  </si>
  <si>
    <t>TTPP 2200</t>
  </si>
  <si>
    <t>COR TTPP 1700</t>
  </si>
  <si>
    <t>TTPP 2300</t>
  </si>
  <si>
    <t>TTPP 1819</t>
  </si>
  <si>
    <t xml:space="preserve">Lowest visibiliy with direction was not converted. </t>
  </si>
  <si>
    <t xml:space="preserve">Flags VCSH as invalid. Removing VCSH from the TAC still results in validation failures however the Validation log is not red so the retest result was recorded as a pass. Uncertain how to treat this retest bec validation failures were reported. </t>
  </si>
  <si>
    <t>same as above</t>
  </si>
  <si>
    <t>TT63</t>
  </si>
  <si>
    <t xml:space="preserve">Same as above. The visibility was left out in error and the system did not flag this or pick it up as an error. The IWXXM misinterprets the TREND temporary visibility as the prevailing vis. </t>
  </si>
  <si>
    <t>This is the corrected 1700z METAR. System identifies the correction indicator COR. Flags VCSH as invalid. Validation log is not red but decoded IWXXM has 2 prevailing visibility</t>
  </si>
  <si>
    <t>Flags VCSH as invalid.  Decoded IWXXM does not include minimum vis. Retesting by removing VCSH, passes the validation</t>
  </si>
  <si>
    <t>VCSH issue</t>
  </si>
  <si>
    <t xml:space="preserve"> T073</t>
  </si>
  <si>
    <t xml:space="preserve">Conversion failed on the first few attempts and the  issue was not clear. It was finally determined that the spacing in the TAF did not allow for a change group to be in a new line. Spacing was addresses and the conversion was then successful. Decoded IWXXM did not translate the change groups and had TEMPO conditions as prevailing. </t>
  </si>
  <si>
    <t>TTPP 291600</t>
  </si>
  <si>
    <t>TTPP 271600</t>
  </si>
  <si>
    <t>Profile Used:</t>
  </si>
  <si>
    <t>ICAO/WMO Annex 3 2025</t>
  </si>
  <si>
    <t>CAR/SAM</t>
  </si>
  <si>
    <t>Exchange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</si>
</sst>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1"/>
      <color theme="1"/>
      <name val="Calibri"/>
      <family val="2"/>
      <scheme val="minor"/>
    </font>
    <font>
      <b/>
      <sz val="11"/>
      <name val="Cambria"/>
      <charset val="1"/>
    </font>
    <font>
      <b/>
      <sz val="11"/>
      <name val="Calibri"/>
    </font>
    <font>
      <sz val="8"/>
      <name val="Calibri"/>
      <family val="2"/>
      <charset val="1"/>
    </font>
    <font>
      <u/>
      <sz val="11"/>
      <color theme="10"/>
      <name val="Calibri"/>
      <family val="2"/>
      <charset val="1"/>
    </font>
    <font>
      <sz val="11"/>
      <color theme="0" tint="-0.249977111117893"/>
      <name val="Calibri"/>
      <family val="2"/>
      <charset val="1"/>
    </font>
    <font>
      <sz val="11"/>
      <color theme="1"/>
      <name val="Calibri"/>
      <family val="2"/>
    </font>
    <font>
      <b/>
      <sz val="11"/>
      <name val="Cambria"/>
      <family val="1"/>
    </font>
    <font>
      <sz val="10"/>
      <color theme="1"/>
      <name val="Calibri"/>
      <family val="2"/>
      <charset val="1"/>
    </font>
    <font>
      <sz val="10"/>
      <name val="Calibri"/>
      <family val="2"/>
      <charset val="1"/>
    </font>
    <font>
      <b/>
      <sz val="11"/>
      <color rgb="FFFF0000"/>
      <name val="Calibri"/>
      <family val="2"/>
    </font>
    <font>
      <b/>
      <sz val="11"/>
      <color theme="1"/>
      <name val="Calibri"/>
      <family val="2"/>
    </font>
  </fonts>
  <fills count="5">
    <fill>
      <patternFill patternType="none"/>
    </fill>
    <fill>
      <patternFill patternType="gray125"/>
    </fill>
    <fill>
      <patternFill patternType="solid">
        <fgColor rgb="FFD9EAF7"/>
        <bgColor rgb="FFCCFFFF"/>
      </patternFill>
    </fill>
    <fill>
      <patternFill patternType="solid">
        <fgColor rgb="FFD9EAF7"/>
      </patternFill>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2" fillId="2" borderId="0" xfId="0" applyFont="1" applyFill="1"/>
    <xf numFmtId="0" fontId="0" fillId="0" borderId="0" xfId="0" applyAlignment="1">
      <alignment wrapText="1"/>
    </xf>
    <xf numFmtId="0" fontId="3" fillId="3" borderId="0" xfId="0" applyFont="1" applyFill="1" applyAlignment="1">
      <alignment wrapText="1"/>
    </xf>
    <xf numFmtId="0" fontId="2" fillId="2" borderId="0" xfId="0" applyFont="1" applyFill="1" applyAlignment="1">
      <alignment vertical="center" wrapText="1"/>
    </xf>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0" fontId="5" fillId="0" borderId="0" xfId="1" applyAlignment="1">
      <alignment vertical="center"/>
    </xf>
    <xf numFmtId="0" fontId="6" fillId="0" borderId="0" xfId="0" applyFont="1" applyAlignment="1">
      <alignment vertical="center"/>
    </xf>
    <xf numFmtId="14" fontId="6" fillId="0" borderId="0" xfId="0" applyNumberFormat="1" applyFont="1" applyAlignment="1">
      <alignment vertical="center"/>
    </xf>
    <xf numFmtId="0" fontId="0" fillId="0" borderId="0" xfId="0" applyAlignment="1">
      <alignment horizontal="left" vertical="center"/>
    </xf>
    <xf numFmtId="0" fontId="1" fillId="0" borderId="0" xfId="0" applyFont="1"/>
    <xf numFmtId="0" fontId="7" fillId="0" borderId="0" xfId="0" applyFont="1" applyAlignment="1">
      <alignment vertical="center"/>
    </xf>
    <xf numFmtId="0" fontId="7" fillId="0" borderId="0" xfId="0" applyFont="1"/>
    <xf numFmtId="0" fontId="8" fillId="2" borderId="0" xfId="0" applyFont="1" applyFill="1" applyAlignment="1">
      <alignment vertical="center"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wrapText="1"/>
    </xf>
    <xf numFmtId="0" fontId="5" fillId="0" borderId="0" xfId="1" applyFill="1"/>
    <xf numFmtId="0" fontId="0" fillId="0" borderId="0" xfId="0" quotePrefix="1" applyAlignment="1">
      <alignment vertical="center"/>
    </xf>
    <xf numFmtId="0" fontId="12" fillId="4" borderId="0" xfId="0" applyFont="1" applyFill="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file:///C:\Users\saide\Documents\IWXXM_LOCAL\T027" TargetMode="External"/><Relationship Id="rId18" Type="http://schemas.openxmlformats.org/officeDocument/2006/relationships/hyperlink" Target="file:///C:\Users\saide\Documents\IWXXM_LOCAL\T032" TargetMode="External"/><Relationship Id="rId26" Type="http://schemas.openxmlformats.org/officeDocument/2006/relationships/hyperlink" Target="TT63" TargetMode="External"/><Relationship Id="rId21" Type="http://schemas.openxmlformats.org/officeDocument/2006/relationships/hyperlink" Target="T037" TargetMode="External"/><Relationship Id="rId34" Type="http://schemas.openxmlformats.org/officeDocument/2006/relationships/hyperlink" Target="T072" TargetMode="External"/><Relationship Id="rId7" Type="http://schemas.openxmlformats.org/officeDocument/2006/relationships/hyperlink" Target="file:///C:\Users\saide\Documents\IWXXM_LOCAL\T012" TargetMode="External"/><Relationship Id="rId12" Type="http://schemas.openxmlformats.org/officeDocument/2006/relationships/hyperlink" Target="file:///C:\Users\saide\Documents\IWXXM_LOCAL\T026" TargetMode="External"/><Relationship Id="rId17" Type="http://schemas.openxmlformats.org/officeDocument/2006/relationships/hyperlink" Target="file:///C:\Users\saide\Documents\IWXXM_LOCAL\T031" TargetMode="External"/><Relationship Id="rId25" Type="http://schemas.openxmlformats.org/officeDocument/2006/relationships/hyperlink" Target="T062" TargetMode="External"/><Relationship Id="rId33" Type="http://schemas.openxmlformats.org/officeDocument/2006/relationships/hyperlink" Target="T070" TargetMode="External"/><Relationship Id="rId38" Type="http://schemas.openxmlformats.org/officeDocument/2006/relationships/printerSettings" Target="../printerSettings/printerSettings1.bin"/><Relationship Id="rId2" Type="http://schemas.openxmlformats.org/officeDocument/2006/relationships/hyperlink" Target="file:///C:\Users\saide\Documents\IWXXM_LOCAL\T003" TargetMode="External"/><Relationship Id="rId16" Type="http://schemas.openxmlformats.org/officeDocument/2006/relationships/hyperlink" Target="file:///C:\Users\saide\Documents\IWXXM_LOCAL\T030" TargetMode="External"/><Relationship Id="rId20" Type="http://schemas.openxmlformats.org/officeDocument/2006/relationships/hyperlink" Target="T036" TargetMode="External"/><Relationship Id="rId29" Type="http://schemas.openxmlformats.org/officeDocument/2006/relationships/hyperlink" Target="T066" TargetMode="External"/><Relationship Id="rId1" Type="http://schemas.openxmlformats.org/officeDocument/2006/relationships/hyperlink" Target="file:///C:\Users\saide\Documents\IWXXM_LOCAL\T002" TargetMode="External"/><Relationship Id="rId6" Type="http://schemas.openxmlformats.org/officeDocument/2006/relationships/hyperlink" Target="file:///C:\Users\saide\Documents\IWXXM_LOCAL\T007" TargetMode="External"/><Relationship Id="rId11" Type="http://schemas.openxmlformats.org/officeDocument/2006/relationships/hyperlink" Target="file:///C:\Users\saide\Documents\IWXXM_LOCAL\T025" TargetMode="External"/><Relationship Id="rId24" Type="http://schemas.openxmlformats.org/officeDocument/2006/relationships/hyperlink" Target="T061" TargetMode="External"/><Relationship Id="rId32" Type="http://schemas.openxmlformats.org/officeDocument/2006/relationships/hyperlink" Target="T071" TargetMode="External"/><Relationship Id="rId37" Type="http://schemas.openxmlformats.org/officeDocument/2006/relationships/hyperlink" Target="T059" TargetMode="External"/><Relationship Id="rId5" Type="http://schemas.openxmlformats.org/officeDocument/2006/relationships/hyperlink" Target="file:///C:\Users\saide\Documents\IWXXM_LOCAL\T006" TargetMode="External"/><Relationship Id="rId15" Type="http://schemas.openxmlformats.org/officeDocument/2006/relationships/hyperlink" Target="file:///C:\Users\saide\Documents\IWXXM_LOCAL\T029" TargetMode="External"/><Relationship Id="rId23" Type="http://schemas.openxmlformats.org/officeDocument/2006/relationships/hyperlink" Target="T060" TargetMode="External"/><Relationship Id="rId28" Type="http://schemas.openxmlformats.org/officeDocument/2006/relationships/hyperlink" Target="T065" TargetMode="External"/><Relationship Id="rId36" Type="http://schemas.openxmlformats.org/officeDocument/2006/relationships/hyperlink" Target="T051" TargetMode="External"/><Relationship Id="rId10" Type="http://schemas.openxmlformats.org/officeDocument/2006/relationships/hyperlink" Target="file:///C:\Users\saide\Documents\IWXXM_LOCAL\T024" TargetMode="External"/><Relationship Id="rId19" Type="http://schemas.openxmlformats.org/officeDocument/2006/relationships/hyperlink" Target="T035" TargetMode="External"/><Relationship Id="rId31" Type="http://schemas.openxmlformats.org/officeDocument/2006/relationships/hyperlink" Target="T069" TargetMode="External"/><Relationship Id="rId4" Type="http://schemas.openxmlformats.org/officeDocument/2006/relationships/hyperlink" Target="file:///C:\Users\saide\Documents\IWXXM_LOCAL\T005" TargetMode="External"/><Relationship Id="rId9" Type="http://schemas.openxmlformats.org/officeDocument/2006/relationships/hyperlink" Target="file:///C:\Users\saide\Documents\IWXXM_LOCAL\T023" TargetMode="External"/><Relationship Id="rId14" Type="http://schemas.openxmlformats.org/officeDocument/2006/relationships/hyperlink" Target="file:///C:\Users\saide\Documents\IWXXM_LOCAL\T028" TargetMode="External"/><Relationship Id="rId22" Type="http://schemas.openxmlformats.org/officeDocument/2006/relationships/hyperlink" Target="T038" TargetMode="External"/><Relationship Id="rId27" Type="http://schemas.openxmlformats.org/officeDocument/2006/relationships/hyperlink" Target="T064" TargetMode="External"/><Relationship Id="rId30" Type="http://schemas.openxmlformats.org/officeDocument/2006/relationships/hyperlink" Target="T068" TargetMode="External"/><Relationship Id="rId35" Type="http://schemas.openxmlformats.org/officeDocument/2006/relationships/hyperlink" Target="T073" TargetMode="External"/><Relationship Id="rId8" Type="http://schemas.openxmlformats.org/officeDocument/2006/relationships/hyperlink" Target="file:///C:\Users\saide\Documents\IWXXM_LOCAL\T019" TargetMode="External"/><Relationship Id="rId3" Type="http://schemas.openxmlformats.org/officeDocument/2006/relationships/hyperlink" Target="file:///C:\Users\saide\Documents\IWXXM_LOCAL\T0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zoomScaleNormal="100" workbookViewId="0">
      <selection activeCell="A19" sqref="A19"/>
    </sheetView>
  </sheetViews>
  <sheetFormatPr defaultColWidth="8.6796875" defaultRowHeight="15" customHeight="1" x14ac:dyDescent="0.75"/>
  <cols>
    <col min="1" max="1" width="110" customWidth="1"/>
  </cols>
  <sheetData>
    <row r="1" spans="1:1" ht="15" customHeight="1" x14ac:dyDescent="0.75">
      <c r="A1" s="1" t="s">
        <v>0</v>
      </c>
    </row>
    <row r="2" spans="1:1" ht="28.4" customHeight="1" x14ac:dyDescent="0.75">
      <c r="A2" s="2" t="s">
        <v>1</v>
      </c>
    </row>
    <row r="3" spans="1:1" ht="28.4" customHeight="1" x14ac:dyDescent="0.75">
      <c r="A3" s="2" t="s">
        <v>2</v>
      </c>
    </row>
    <row r="4" spans="1:1" ht="15" customHeight="1" x14ac:dyDescent="0.75">
      <c r="A4" s="2" t="s">
        <v>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1"/>
  <sheetViews>
    <sheetView zoomScale="85" zoomScaleNormal="110" workbookViewId="0">
      <pane xSplit="1" ySplit="1" topLeftCell="B2" activePane="bottomRight" state="frozen"/>
      <selection pane="topRight" activeCell="B1" sqref="B1"/>
      <selection pane="bottomLeft" activeCell="A2" sqref="A2"/>
      <selection pane="bottomRight" activeCell="K66" sqref="K66"/>
    </sheetView>
  </sheetViews>
  <sheetFormatPr defaultColWidth="8.6796875" defaultRowHeight="15" customHeight="1" x14ac:dyDescent="0.75"/>
  <cols>
    <col min="1" max="1" width="19.58984375" style="16" customWidth="1"/>
    <col min="2" max="2" width="12" style="5" customWidth="1"/>
    <col min="3" max="4" width="14" style="5" customWidth="1"/>
    <col min="5" max="5" width="32" style="5" customWidth="1"/>
    <col min="6" max="7" width="20" style="5" customWidth="1"/>
    <col min="8" max="8" width="25" style="5" customWidth="1"/>
    <col min="9" max="9" width="14" style="5" customWidth="1"/>
    <col min="10" max="10" width="42" style="7" customWidth="1"/>
    <col min="11" max="11" width="30" style="5" customWidth="1"/>
    <col min="12" max="12" width="20" style="5" customWidth="1"/>
    <col min="13" max="16384" width="8.6796875" style="5"/>
  </cols>
  <sheetData>
    <row r="1" spans="1:12" ht="28.4" customHeight="1" x14ac:dyDescent="0.75">
      <c r="A1" s="15" t="s">
        <v>4</v>
      </c>
      <c r="B1" s="4" t="s">
        <v>5</v>
      </c>
      <c r="C1" s="4" t="s">
        <v>6</v>
      </c>
      <c r="D1" s="4" t="s">
        <v>7</v>
      </c>
      <c r="E1" s="4" t="s">
        <v>8</v>
      </c>
      <c r="F1" s="4" t="s">
        <v>9</v>
      </c>
      <c r="G1" s="4" t="s">
        <v>10</v>
      </c>
      <c r="H1" s="4" t="s">
        <v>11</v>
      </c>
      <c r="I1" s="4" t="s">
        <v>12</v>
      </c>
      <c r="J1" s="4" t="s">
        <v>13</v>
      </c>
      <c r="K1" s="4" t="s">
        <v>14</v>
      </c>
      <c r="L1" s="4" t="s">
        <v>15</v>
      </c>
    </row>
    <row r="2" spans="1:12" ht="24.65" customHeight="1" x14ac:dyDescent="0.75">
      <c r="A2" s="18" t="s">
        <v>295</v>
      </c>
      <c r="B2" s="9" t="s">
        <v>16</v>
      </c>
      <c r="C2" s="10">
        <v>46273</v>
      </c>
      <c r="D2" s="9" t="s">
        <v>17</v>
      </c>
      <c r="E2" s="9" t="s">
        <v>18</v>
      </c>
      <c r="F2" s="9" t="s">
        <v>19</v>
      </c>
      <c r="G2" s="9" t="s">
        <v>19</v>
      </c>
      <c r="H2" s="9" t="s">
        <v>20</v>
      </c>
      <c r="I2" s="9" t="s">
        <v>21</v>
      </c>
    </row>
    <row r="3" spans="1:12" ht="207" customHeight="1" x14ac:dyDescent="0.75">
      <c r="A3" s="16" t="s">
        <v>296</v>
      </c>
      <c r="B3" s="5" t="s">
        <v>16</v>
      </c>
      <c r="C3" s="6">
        <v>46273</v>
      </c>
      <c r="D3" s="5" t="s">
        <v>287</v>
      </c>
      <c r="E3" s="5" t="s">
        <v>313</v>
      </c>
      <c r="F3" s="5" t="s">
        <v>19</v>
      </c>
      <c r="G3" s="5" t="s">
        <v>297</v>
      </c>
      <c r="H3" s="5" t="s">
        <v>305</v>
      </c>
      <c r="I3" s="5" t="s">
        <v>283</v>
      </c>
      <c r="J3" s="7" t="s">
        <v>343</v>
      </c>
      <c r="K3" s="8" t="s">
        <v>298</v>
      </c>
      <c r="L3" s="5" t="s">
        <v>297</v>
      </c>
    </row>
    <row r="4" spans="1:12" ht="43.15" customHeight="1" x14ac:dyDescent="0.75">
      <c r="A4" s="16" t="s">
        <v>300</v>
      </c>
      <c r="B4" s="5" t="s">
        <v>16</v>
      </c>
      <c r="D4" s="5" t="s">
        <v>287</v>
      </c>
      <c r="E4" s="5" t="s">
        <v>314</v>
      </c>
      <c r="F4" s="5" t="s">
        <v>19</v>
      </c>
      <c r="G4" s="5" t="s">
        <v>297</v>
      </c>
      <c r="H4" s="5" t="s">
        <v>305</v>
      </c>
      <c r="I4" s="5" t="s">
        <v>283</v>
      </c>
      <c r="J4" s="7" t="s">
        <v>306</v>
      </c>
      <c r="K4" s="8" t="s">
        <v>309</v>
      </c>
      <c r="L4" s="5" t="s">
        <v>297</v>
      </c>
    </row>
    <row r="5" spans="1:12" ht="90.45" customHeight="1" x14ac:dyDescent="0.75">
      <c r="A5" s="16" t="s">
        <v>299</v>
      </c>
      <c r="B5" s="5" t="s">
        <v>16</v>
      </c>
      <c r="D5" s="5" t="s">
        <v>287</v>
      </c>
      <c r="E5" s="5" t="s">
        <v>315</v>
      </c>
      <c r="F5" s="5" t="s">
        <v>19</v>
      </c>
      <c r="G5" s="5" t="s">
        <v>297</v>
      </c>
      <c r="H5" s="5" t="s">
        <v>305</v>
      </c>
      <c r="I5" s="5" t="s">
        <v>283</v>
      </c>
      <c r="J5" s="7" t="s">
        <v>307</v>
      </c>
      <c r="K5" s="8" t="s">
        <v>310</v>
      </c>
      <c r="L5" s="5" t="s">
        <v>297</v>
      </c>
    </row>
    <row r="6" spans="1:12" ht="15" customHeight="1" x14ac:dyDescent="0.75">
      <c r="A6" s="16" t="s">
        <v>301</v>
      </c>
      <c r="B6" s="5" t="s">
        <v>16</v>
      </c>
      <c r="D6" s="5" t="s">
        <v>287</v>
      </c>
      <c r="E6" s="5" t="s">
        <v>316</v>
      </c>
      <c r="F6" s="5" t="s">
        <v>19</v>
      </c>
      <c r="G6" s="5" t="s">
        <v>297</v>
      </c>
      <c r="H6" s="5" t="s">
        <v>305</v>
      </c>
      <c r="I6" s="5" t="s">
        <v>283</v>
      </c>
      <c r="J6" s="7" t="s">
        <v>306</v>
      </c>
      <c r="K6" s="8" t="s">
        <v>311</v>
      </c>
      <c r="L6" s="5" t="s">
        <v>308</v>
      </c>
    </row>
    <row r="7" spans="1:12" ht="15" customHeight="1" x14ac:dyDescent="0.75">
      <c r="A7" s="16" t="s">
        <v>302</v>
      </c>
      <c r="B7" s="5" t="s">
        <v>16</v>
      </c>
      <c r="D7" s="5" t="s">
        <v>287</v>
      </c>
      <c r="E7" s="5" t="s">
        <v>317</v>
      </c>
      <c r="F7" s="5" t="s">
        <v>19</v>
      </c>
      <c r="G7" s="5" t="s">
        <v>297</v>
      </c>
      <c r="H7" s="5" t="s">
        <v>305</v>
      </c>
      <c r="I7" s="5" t="s">
        <v>283</v>
      </c>
      <c r="J7" s="7" t="s">
        <v>306</v>
      </c>
      <c r="K7" s="8" t="s">
        <v>336</v>
      </c>
      <c r="L7" s="5" t="s">
        <v>308</v>
      </c>
    </row>
    <row r="8" spans="1:12" ht="15" customHeight="1" x14ac:dyDescent="0.75">
      <c r="A8" s="16" t="s">
        <v>303</v>
      </c>
      <c r="B8" s="5" t="s">
        <v>16</v>
      </c>
      <c r="D8" s="5" t="s">
        <v>287</v>
      </c>
      <c r="E8" s="5" t="s">
        <v>318</v>
      </c>
      <c r="F8" s="5" t="s">
        <v>19</v>
      </c>
      <c r="G8" s="5" t="s">
        <v>297</v>
      </c>
      <c r="H8" s="5" t="s">
        <v>305</v>
      </c>
      <c r="I8" s="5" t="s">
        <v>283</v>
      </c>
      <c r="J8" s="7" t="s">
        <v>306</v>
      </c>
      <c r="K8" s="8" t="s">
        <v>337</v>
      </c>
      <c r="L8" s="5" t="s">
        <v>308</v>
      </c>
    </row>
    <row r="9" spans="1:12" ht="15" customHeight="1" x14ac:dyDescent="0.75">
      <c r="A9" s="16" t="s">
        <v>304</v>
      </c>
      <c r="B9" s="5" t="s">
        <v>16</v>
      </c>
      <c r="D9" s="5" t="s">
        <v>287</v>
      </c>
      <c r="E9" s="5" t="s">
        <v>319</v>
      </c>
      <c r="F9" s="5" t="s">
        <v>312</v>
      </c>
    </row>
    <row r="10" spans="1:12" ht="15" customHeight="1" x14ac:dyDescent="0.75">
      <c r="A10" s="16" t="s">
        <v>344</v>
      </c>
      <c r="B10" s="5" t="s">
        <v>16</v>
      </c>
      <c r="D10" s="5" t="s">
        <v>287</v>
      </c>
      <c r="E10" s="5" t="s">
        <v>320</v>
      </c>
      <c r="F10" s="5" t="s">
        <v>312</v>
      </c>
    </row>
    <row r="11" spans="1:12" ht="15" customHeight="1" x14ac:dyDescent="0.75">
      <c r="A11" s="16" t="s">
        <v>345</v>
      </c>
      <c r="B11" s="5" t="s">
        <v>16</v>
      </c>
      <c r="D11" s="5" t="s">
        <v>287</v>
      </c>
      <c r="E11" s="5" t="s">
        <v>321</v>
      </c>
      <c r="F11" s="5" t="s">
        <v>312</v>
      </c>
    </row>
    <row r="12" spans="1:12" ht="15" customHeight="1" x14ac:dyDescent="0.75">
      <c r="A12" s="16" t="s">
        <v>346</v>
      </c>
      <c r="B12" s="5" t="s">
        <v>16</v>
      </c>
      <c r="D12" s="5" t="s">
        <v>287</v>
      </c>
      <c r="E12" s="5" t="s">
        <v>322</v>
      </c>
      <c r="F12" s="5" t="s">
        <v>312</v>
      </c>
    </row>
    <row r="13" spans="1:12" ht="48" customHeight="1" x14ac:dyDescent="0.75">
      <c r="A13" s="16" t="s">
        <v>347</v>
      </c>
      <c r="B13" s="5" t="s">
        <v>16</v>
      </c>
      <c r="D13" s="5" t="s">
        <v>287</v>
      </c>
      <c r="E13" s="5" t="s">
        <v>323</v>
      </c>
      <c r="F13" s="5" t="s">
        <v>19</v>
      </c>
      <c r="G13" s="5" t="s">
        <v>297</v>
      </c>
      <c r="H13" s="5" t="s">
        <v>305</v>
      </c>
      <c r="I13" s="5" t="s">
        <v>283</v>
      </c>
      <c r="J13" s="7" t="s">
        <v>334</v>
      </c>
      <c r="K13" s="8" t="s">
        <v>338</v>
      </c>
      <c r="L13" s="5" t="s">
        <v>297</v>
      </c>
    </row>
    <row r="14" spans="1:12" ht="15" customHeight="1" x14ac:dyDescent="0.75">
      <c r="A14" s="16" t="s">
        <v>348</v>
      </c>
      <c r="B14" s="5" t="s">
        <v>16</v>
      </c>
      <c r="D14" s="5" t="s">
        <v>287</v>
      </c>
      <c r="E14" s="5" t="s">
        <v>324</v>
      </c>
      <c r="F14" s="5" t="s">
        <v>312</v>
      </c>
    </row>
    <row r="15" spans="1:12" ht="15" customHeight="1" x14ac:dyDescent="0.75">
      <c r="A15" s="16" t="s">
        <v>349</v>
      </c>
      <c r="B15" s="5" t="s">
        <v>16</v>
      </c>
      <c r="D15" s="5" t="s">
        <v>287</v>
      </c>
      <c r="E15" s="5" t="s">
        <v>325</v>
      </c>
      <c r="F15" s="5" t="s">
        <v>312</v>
      </c>
    </row>
    <row r="16" spans="1:12" ht="15" customHeight="1" x14ac:dyDescent="0.75">
      <c r="A16" s="16" t="s">
        <v>350</v>
      </c>
      <c r="B16" s="5" t="s">
        <v>16</v>
      </c>
      <c r="D16" s="5" t="s">
        <v>287</v>
      </c>
      <c r="E16" s="5" t="s">
        <v>326</v>
      </c>
      <c r="F16" s="5" t="s">
        <v>312</v>
      </c>
    </row>
    <row r="17" spans="1:12" ht="15" customHeight="1" x14ac:dyDescent="0.75">
      <c r="A17" s="16" t="s">
        <v>351</v>
      </c>
      <c r="B17" s="5" t="s">
        <v>16</v>
      </c>
      <c r="D17" s="5" t="s">
        <v>287</v>
      </c>
      <c r="E17" s="5" t="s">
        <v>327</v>
      </c>
      <c r="F17" s="5" t="s">
        <v>312</v>
      </c>
    </row>
    <row r="18" spans="1:12" ht="15" customHeight="1" x14ac:dyDescent="0.75">
      <c r="A18" s="16" t="s">
        <v>352</v>
      </c>
      <c r="B18" s="5" t="s">
        <v>16</v>
      </c>
      <c r="D18" s="5" t="s">
        <v>287</v>
      </c>
      <c r="E18" s="5" t="s">
        <v>328</v>
      </c>
      <c r="F18" s="5" t="s">
        <v>312</v>
      </c>
    </row>
    <row r="19" spans="1:12" ht="15" customHeight="1" x14ac:dyDescent="0.75">
      <c r="A19" s="16" t="s">
        <v>353</v>
      </c>
      <c r="B19" s="5" t="s">
        <v>16</v>
      </c>
      <c r="D19" s="5" t="s">
        <v>287</v>
      </c>
      <c r="E19" s="5" t="s">
        <v>329</v>
      </c>
      <c r="F19" s="5" t="s">
        <v>312</v>
      </c>
    </row>
    <row r="20" spans="1:12" ht="64.2" customHeight="1" x14ac:dyDescent="0.75">
      <c r="A20" s="16" t="s">
        <v>354</v>
      </c>
      <c r="B20" s="5" t="s">
        <v>16</v>
      </c>
      <c r="D20" s="5" t="s">
        <v>287</v>
      </c>
      <c r="E20" s="5" t="s">
        <v>330</v>
      </c>
      <c r="F20" s="5" t="s">
        <v>19</v>
      </c>
      <c r="G20" s="11" t="s">
        <v>297</v>
      </c>
      <c r="H20" s="5" t="s">
        <v>305</v>
      </c>
      <c r="I20" s="5" t="s">
        <v>283</v>
      </c>
      <c r="J20" s="7" t="s">
        <v>335</v>
      </c>
      <c r="K20" s="8" t="s">
        <v>339</v>
      </c>
      <c r="L20" s="5" t="s">
        <v>308</v>
      </c>
    </row>
    <row r="21" spans="1:12" ht="15" customHeight="1" x14ac:dyDescent="0.75">
      <c r="A21" s="16" t="s">
        <v>355</v>
      </c>
      <c r="B21" s="5" t="s">
        <v>16</v>
      </c>
      <c r="D21" s="5" t="s">
        <v>287</v>
      </c>
      <c r="E21" s="5" t="s">
        <v>331</v>
      </c>
    </row>
    <row r="22" spans="1:12" ht="15" customHeight="1" x14ac:dyDescent="0.75">
      <c r="A22" s="16" t="s">
        <v>356</v>
      </c>
      <c r="B22" s="5" t="s">
        <v>16</v>
      </c>
      <c r="D22" s="5" t="s">
        <v>287</v>
      </c>
      <c r="E22" s="5" t="s">
        <v>332</v>
      </c>
    </row>
    <row r="23" spans="1:12" ht="15" customHeight="1" x14ac:dyDescent="0.75">
      <c r="A23" s="16" t="s">
        <v>357</v>
      </c>
      <c r="B23" s="5" t="s">
        <v>16</v>
      </c>
      <c r="D23" s="5" t="s">
        <v>287</v>
      </c>
      <c r="E23" s="5" t="s">
        <v>333</v>
      </c>
    </row>
    <row r="24" spans="1:12" ht="53.4" customHeight="1" x14ac:dyDescent="0.75">
      <c r="A24" s="16" t="s">
        <v>358</v>
      </c>
      <c r="B24" s="5" t="s">
        <v>16</v>
      </c>
      <c r="D24" s="5" t="s">
        <v>17</v>
      </c>
      <c r="E24" s="5" t="s">
        <v>313</v>
      </c>
      <c r="F24" s="5" t="s">
        <v>19</v>
      </c>
      <c r="G24" s="5" t="s">
        <v>297</v>
      </c>
      <c r="H24" s="5" t="s">
        <v>305</v>
      </c>
      <c r="I24" s="5" t="s">
        <v>285</v>
      </c>
      <c r="J24" s="7" t="s">
        <v>340</v>
      </c>
      <c r="K24" s="8" t="s">
        <v>362</v>
      </c>
      <c r="L24" s="5" t="s">
        <v>308</v>
      </c>
    </row>
    <row r="25" spans="1:12" ht="15" customHeight="1" x14ac:dyDescent="0.75">
      <c r="A25" s="16" t="s">
        <v>359</v>
      </c>
      <c r="B25" s="5" t="s">
        <v>16</v>
      </c>
      <c r="D25" s="5" t="s">
        <v>17</v>
      </c>
      <c r="E25" s="12" t="s">
        <v>341</v>
      </c>
      <c r="F25" s="5" t="s">
        <v>19</v>
      </c>
      <c r="G25" s="5" t="s">
        <v>297</v>
      </c>
      <c r="H25" s="5" t="s">
        <v>305</v>
      </c>
      <c r="I25" s="5" t="s">
        <v>285</v>
      </c>
      <c r="J25" s="7" t="s">
        <v>306</v>
      </c>
      <c r="K25" s="8" t="s">
        <v>363</v>
      </c>
    </row>
    <row r="26" spans="1:12" ht="186.65" customHeight="1" x14ac:dyDescent="0.75">
      <c r="A26" s="16" t="s">
        <v>403</v>
      </c>
      <c r="B26" s="5" t="s">
        <v>16</v>
      </c>
      <c r="D26" s="5" t="s">
        <v>17</v>
      </c>
      <c r="E26" s="13" t="s">
        <v>342</v>
      </c>
      <c r="F26" s="5" t="s">
        <v>297</v>
      </c>
      <c r="G26" s="5" t="s">
        <v>297</v>
      </c>
      <c r="H26" s="5" t="s">
        <v>305</v>
      </c>
      <c r="I26" s="5" t="s">
        <v>283</v>
      </c>
      <c r="J26" s="7" t="s">
        <v>381</v>
      </c>
      <c r="K26" s="8" t="s">
        <v>364</v>
      </c>
      <c r="L26" s="5" t="s">
        <v>297</v>
      </c>
    </row>
    <row r="27" spans="1:12" ht="33" customHeight="1" x14ac:dyDescent="0.75">
      <c r="A27" s="16" t="s">
        <v>404</v>
      </c>
      <c r="B27" s="5" t="s">
        <v>16</v>
      </c>
      <c r="D27" s="5" t="s">
        <v>17</v>
      </c>
      <c r="E27" s="5" t="s">
        <v>360</v>
      </c>
      <c r="F27" s="5" t="s">
        <v>297</v>
      </c>
      <c r="G27" s="5" t="s">
        <v>297</v>
      </c>
      <c r="H27" s="5" t="s">
        <v>305</v>
      </c>
      <c r="I27" s="5" t="s">
        <v>284</v>
      </c>
      <c r="J27" s="7" t="s">
        <v>361</v>
      </c>
      <c r="K27" s="8" t="s">
        <v>365</v>
      </c>
      <c r="L27" s="5" t="s">
        <v>297</v>
      </c>
    </row>
    <row r="28" spans="1:12" ht="15" customHeight="1" x14ac:dyDescent="0.75">
      <c r="A28" s="16" t="s">
        <v>405</v>
      </c>
      <c r="B28" s="5" t="s">
        <v>16</v>
      </c>
      <c r="D28" s="5" t="s">
        <v>17</v>
      </c>
      <c r="E28" s="5" t="s">
        <v>366</v>
      </c>
      <c r="F28" s="5" t="s">
        <v>297</v>
      </c>
      <c r="G28" s="5" t="s">
        <v>297</v>
      </c>
      <c r="H28" s="5" t="s">
        <v>305</v>
      </c>
      <c r="J28" s="7" t="s">
        <v>367</v>
      </c>
      <c r="K28" s="8" t="s">
        <v>370</v>
      </c>
      <c r="L28" s="5" t="s">
        <v>297</v>
      </c>
    </row>
    <row r="29" spans="1:12" ht="73.2" customHeight="1" x14ac:dyDescent="0.75">
      <c r="A29" s="16" t="s">
        <v>406</v>
      </c>
      <c r="B29" s="5" t="s">
        <v>16</v>
      </c>
      <c r="D29" s="5" t="s">
        <v>17</v>
      </c>
      <c r="E29" s="5" t="s">
        <v>368</v>
      </c>
      <c r="F29" s="5" t="s">
        <v>19</v>
      </c>
      <c r="G29" s="5" t="s">
        <v>297</v>
      </c>
      <c r="H29" s="5" t="s">
        <v>305</v>
      </c>
      <c r="I29" s="5" t="s">
        <v>285</v>
      </c>
      <c r="J29" s="7" t="s">
        <v>369</v>
      </c>
      <c r="K29" s="8" t="s">
        <v>371</v>
      </c>
      <c r="L29" s="5" t="s">
        <v>308</v>
      </c>
    </row>
    <row r="30" spans="1:12" ht="15" customHeight="1" x14ac:dyDescent="0.75">
      <c r="A30" s="16" t="s">
        <v>407</v>
      </c>
      <c r="B30" s="5" t="s">
        <v>16</v>
      </c>
      <c r="D30" s="5" t="s">
        <v>286</v>
      </c>
      <c r="E30" s="5" t="s">
        <v>372</v>
      </c>
      <c r="F30" s="5" t="s">
        <v>19</v>
      </c>
      <c r="G30" s="5" t="s">
        <v>297</v>
      </c>
      <c r="H30" s="5" t="s">
        <v>20</v>
      </c>
      <c r="J30" s="7" t="s">
        <v>375</v>
      </c>
      <c r="K30" s="8" t="s">
        <v>374</v>
      </c>
      <c r="L30" s="5" t="s">
        <v>308</v>
      </c>
    </row>
    <row r="31" spans="1:12" ht="15" customHeight="1" x14ac:dyDescent="0.75">
      <c r="A31" s="16" t="s">
        <v>408</v>
      </c>
      <c r="B31" s="5" t="s">
        <v>16</v>
      </c>
      <c r="D31" s="5" t="s">
        <v>286</v>
      </c>
      <c r="E31" s="5" t="s">
        <v>373</v>
      </c>
      <c r="F31" s="5" t="s">
        <v>19</v>
      </c>
      <c r="G31" s="5" t="s">
        <v>297</v>
      </c>
      <c r="H31" s="5" t="s">
        <v>20</v>
      </c>
      <c r="J31" s="7" t="s">
        <v>375</v>
      </c>
      <c r="K31" s="8" t="s">
        <v>376</v>
      </c>
      <c r="L31" s="5" t="s">
        <v>308</v>
      </c>
    </row>
    <row r="32" spans="1:12" ht="65.400000000000006" customHeight="1" x14ac:dyDescent="0.75">
      <c r="A32" s="16" t="s">
        <v>409</v>
      </c>
      <c r="B32" s="5" t="s">
        <v>16</v>
      </c>
      <c r="D32" s="5" t="s">
        <v>286</v>
      </c>
      <c r="E32" s="5" t="s">
        <v>377</v>
      </c>
      <c r="F32" s="5" t="s">
        <v>19</v>
      </c>
      <c r="G32" s="5" t="s">
        <v>297</v>
      </c>
      <c r="H32" s="5" t="s">
        <v>305</v>
      </c>
      <c r="I32" s="5" t="s">
        <v>283</v>
      </c>
      <c r="J32" s="7" t="s">
        <v>378</v>
      </c>
      <c r="K32" s="8" t="s">
        <v>23</v>
      </c>
      <c r="L32" s="5" t="s">
        <v>308</v>
      </c>
    </row>
    <row r="33" spans="1:12" ht="110.4" customHeight="1" x14ac:dyDescent="0.75">
      <c r="A33" s="16" t="s">
        <v>410</v>
      </c>
      <c r="B33" s="5" t="s">
        <v>16</v>
      </c>
      <c r="D33" s="5" t="s">
        <v>288</v>
      </c>
      <c r="E33" s="5" t="s">
        <v>379</v>
      </c>
      <c r="F33" s="5" t="s">
        <v>19</v>
      </c>
      <c r="G33" s="5" t="s">
        <v>19</v>
      </c>
      <c r="H33" s="5" t="s">
        <v>20</v>
      </c>
      <c r="I33" s="5" t="s">
        <v>21</v>
      </c>
      <c r="J33" s="7" t="s">
        <v>382</v>
      </c>
      <c r="K33" s="8" t="s">
        <v>24</v>
      </c>
      <c r="L33" s="5" t="s">
        <v>19</v>
      </c>
    </row>
    <row r="34" spans="1:12" ht="28.2" customHeight="1" x14ac:dyDescent="0.75">
      <c r="A34" s="17" t="s">
        <v>411</v>
      </c>
      <c r="B34" s="5" t="s">
        <v>16</v>
      </c>
      <c r="D34" s="5" t="s">
        <v>288</v>
      </c>
      <c r="E34" s="13" t="s">
        <v>384</v>
      </c>
      <c r="F34" s="5" t="s">
        <v>19</v>
      </c>
      <c r="G34" s="5" t="s">
        <v>297</v>
      </c>
      <c r="H34" s="5" t="s">
        <v>305</v>
      </c>
      <c r="I34" s="5" t="s">
        <v>283</v>
      </c>
      <c r="J34" s="7" t="s">
        <v>400</v>
      </c>
      <c r="K34" s="8"/>
    </row>
    <row r="35" spans="1:12" ht="23.4" customHeight="1" x14ac:dyDescent="0.75">
      <c r="A35" s="16" t="s">
        <v>412</v>
      </c>
      <c r="B35" s="5" t="s">
        <v>16</v>
      </c>
      <c r="D35" s="5" t="s">
        <v>288</v>
      </c>
      <c r="E35" s="13" t="s">
        <v>385</v>
      </c>
      <c r="F35" s="13" t="s">
        <v>19</v>
      </c>
      <c r="G35" s="5" t="s">
        <v>312</v>
      </c>
    </row>
    <row r="36" spans="1:12" ht="128.4" customHeight="1" x14ac:dyDescent="0.75">
      <c r="A36" s="16" t="s">
        <v>413</v>
      </c>
      <c r="B36" s="5" t="s">
        <v>16</v>
      </c>
      <c r="D36" s="5" t="s">
        <v>288</v>
      </c>
      <c r="E36" s="13" t="s">
        <v>380</v>
      </c>
      <c r="F36" s="5" t="s">
        <v>297</v>
      </c>
      <c r="G36" s="5" t="s">
        <v>19</v>
      </c>
      <c r="H36" s="5" t="s">
        <v>305</v>
      </c>
      <c r="I36" s="5" t="s">
        <v>283</v>
      </c>
      <c r="J36" s="7" t="s">
        <v>399</v>
      </c>
      <c r="K36" s="8" t="s">
        <v>25</v>
      </c>
      <c r="L36" s="5" t="s">
        <v>297</v>
      </c>
    </row>
    <row r="37" spans="1:12" ht="99" customHeight="1" x14ac:dyDescent="0.75">
      <c r="A37" s="16" t="s">
        <v>414</v>
      </c>
      <c r="B37" s="5" t="s">
        <v>16</v>
      </c>
      <c r="D37" s="5" t="s">
        <v>288</v>
      </c>
      <c r="E37" s="5" t="s">
        <v>386</v>
      </c>
      <c r="F37" s="5" t="s">
        <v>297</v>
      </c>
      <c r="G37" s="5" t="s">
        <v>297</v>
      </c>
      <c r="H37" s="5" t="s">
        <v>305</v>
      </c>
      <c r="I37" s="5" t="s">
        <v>283</v>
      </c>
      <c r="J37" s="7" t="s">
        <v>383</v>
      </c>
      <c r="K37" s="8" t="s">
        <v>26</v>
      </c>
      <c r="L37" s="5" t="s">
        <v>297</v>
      </c>
    </row>
    <row r="38" spans="1:12" ht="62.5" customHeight="1" x14ac:dyDescent="0.75">
      <c r="A38" s="16" t="s">
        <v>415</v>
      </c>
      <c r="B38" s="5" t="s">
        <v>16</v>
      </c>
      <c r="D38" s="5" t="s">
        <v>288</v>
      </c>
      <c r="E38" s="13" t="s">
        <v>387</v>
      </c>
      <c r="F38" s="5" t="s">
        <v>297</v>
      </c>
      <c r="G38" s="5" t="s">
        <v>312</v>
      </c>
      <c r="H38" s="5" t="s">
        <v>401</v>
      </c>
      <c r="I38" s="5" t="s">
        <v>283</v>
      </c>
      <c r="J38" s="7" t="s">
        <v>402</v>
      </c>
      <c r="K38" s="8" t="s">
        <v>27</v>
      </c>
      <c r="L38" s="5" t="s">
        <v>297</v>
      </c>
    </row>
    <row r="39" spans="1:12" ht="89.5" customHeight="1" x14ac:dyDescent="0.75">
      <c r="A39" s="16" t="s">
        <v>416</v>
      </c>
      <c r="B39" s="5" t="s">
        <v>16</v>
      </c>
      <c r="D39" s="5" t="s">
        <v>288</v>
      </c>
      <c r="E39" s="13" t="s">
        <v>388</v>
      </c>
      <c r="F39" s="5" t="s">
        <v>297</v>
      </c>
      <c r="G39" s="5" t="s">
        <v>312</v>
      </c>
      <c r="H39" s="5" t="s">
        <v>401</v>
      </c>
      <c r="I39" s="5" t="s">
        <v>283</v>
      </c>
      <c r="J39" s="7" t="s">
        <v>402</v>
      </c>
      <c r="K39" s="8" t="s">
        <v>28</v>
      </c>
      <c r="L39" s="5" t="s">
        <v>297</v>
      </c>
    </row>
    <row r="40" spans="1:12" ht="15" customHeight="1" x14ac:dyDescent="0.75">
      <c r="A40" s="16" t="s">
        <v>417</v>
      </c>
      <c r="B40" s="5" t="s">
        <v>16</v>
      </c>
      <c r="D40" s="5" t="s">
        <v>288</v>
      </c>
      <c r="E40" s="13" t="s">
        <v>389</v>
      </c>
      <c r="F40" s="5" t="s">
        <v>312</v>
      </c>
      <c r="G40" s="5" t="s">
        <v>312</v>
      </c>
    </row>
    <row r="41" spans="1:12" ht="15" customHeight="1" x14ac:dyDescent="0.75">
      <c r="A41" s="16" t="s">
        <v>418</v>
      </c>
      <c r="B41" s="5" t="s">
        <v>16</v>
      </c>
      <c r="D41" s="5" t="s">
        <v>288</v>
      </c>
      <c r="E41" s="13" t="s">
        <v>390</v>
      </c>
      <c r="F41" s="5" t="s">
        <v>312</v>
      </c>
      <c r="G41" s="5" t="s">
        <v>312</v>
      </c>
    </row>
    <row r="42" spans="1:12" ht="15" customHeight="1" x14ac:dyDescent="0.75">
      <c r="A42" s="16" t="s">
        <v>419</v>
      </c>
      <c r="B42" s="5" t="s">
        <v>16</v>
      </c>
      <c r="D42" s="5" t="s">
        <v>288</v>
      </c>
      <c r="E42" s="14" t="s">
        <v>390</v>
      </c>
      <c r="F42" s="5" t="s">
        <v>312</v>
      </c>
      <c r="G42" s="5" t="s">
        <v>312</v>
      </c>
    </row>
    <row r="43" spans="1:12" ht="15" customHeight="1" x14ac:dyDescent="0.75">
      <c r="A43" s="16" t="s">
        <v>420</v>
      </c>
      <c r="B43" s="5" t="s">
        <v>16</v>
      </c>
      <c r="D43" s="5" t="s">
        <v>288</v>
      </c>
      <c r="E43" s="14" t="s">
        <v>390</v>
      </c>
      <c r="F43" s="5" t="s">
        <v>312</v>
      </c>
      <c r="G43" s="5" t="s">
        <v>312</v>
      </c>
    </row>
    <row r="44" spans="1:12" ht="15" customHeight="1" x14ac:dyDescent="0.75">
      <c r="A44" s="16" t="s">
        <v>421</v>
      </c>
      <c r="B44" s="5" t="s">
        <v>16</v>
      </c>
      <c r="D44" s="5" t="s">
        <v>288</v>
      </c>
      <c r="E44" s="13" t="s">
        <v>391</v>
      </c>
      <c r="F44" s="5" t="s">
        <v>312</v>
      </c>
      <c r="G44" s="5" t="s">
        <v>312</v>
      </c>
    </row>
    <row r="45" spans="1:12" ht="15" customHeight="1" x14ac:dyDescent="0.75">
      <c r="A45" s="16" t="s">
        <v>422</v>
      </c>
      <c r="B45" s="5" t="s">
        <v>16</v>
      </c>
      <c r="D45" s="5" t="s">
        <v>288</v>
      </c>
      <c r="E45" s="13" t="s">
        <v>392</v>
      </c>
      <c r="F45" s="5" t="s">
        <v>312</v>
      </c>
      <c r="G45" s="5" t="s">
        <v>312</v>
      </c>
    </row>
    <row r="46" spans="1:12" ht="15" customHeight="1" x14ac:dyDescent="0.75">
      <c r="A46" s="16" t="s">
        <v>423</v>
      </c>
      <c r="B46" s="5" t="s">
        <v>16</v>
      </c>
      <c r="D46" s="5" t="s">
        <v>288</v>
      </c>
      <c r="E46" s="13" t="s">
        <v>393</v>
      </c>
      <c r="F46" s="5" t="s">
        <v>312</v>
      </c>
      <c r="G46" s="5" t="s">
        <v>312</v>
      </c>
    </row>
    <row r="47" spans="1:12" ht="15" customHeight="1" x14ac:dyDescent="0.75">
      <c r="A47" s="16" t="s">
        <v>424</v>
      </c>
      <c r="B47" s="5" t="s">
        <v>16</v>
      </c>
      <c r="D47" s="5" t="s">
        <v>288</v>
      </c>
      <c r="E47" s="13" t="s">
        <v>394</v>
      </c>
      <c r="F47" s="5" t="s">
        <v>312</v>
      </c>
      <c r="G47" s="5" t="s">
        <v>312</v>
      </c>
    </row>
    <row r="48" spans="1:12" ht="15" customHeight="1" x14ac:dyDescent="0.75">
      <c r="A48" s="16" t="s">
        <v>425</v>
      </c>
      <c r="B48" s="5" t="s">
        <v>16</v>
      </c>
      <c r="D48" s="5" t="s">
        <v>288</v>
      </c>
      <c r="E48" s="13" t="s">
        <v>395</v>
      </c>
      <c r="F48" s="5" t="s">
        <v>312</v>
      </c>
      <c r="G48" s="5" t="s">
        <v>312</v>
      </c>
    </row>
    <row r="49" spans="1:12" ht="15" customHeight="1" x14ac:dyDescent="0.75">
      <c r="A49" s="16" t="s">
        <v>426</v>
      </c>
      <c r="B49" s="5" t="s">
        <v>16</v>
      </c>
      <c r="D49" s="5" t="s">
        <v>288</v>
      </c>
      <c r="E49" s="13" t="s">
        <v>396</v>
      </c>
      <c r="F49" s="5" t="s">
        <v>312</v>
      </c>
      <c r="G49" s="5" t="s">
        <v>312</v>
      </c>
    </row>
    <row r="50" spans="1:12" ht="15" customHeight="1" x14ac:dyDescent="0.75">
      <c r="A50" s="16" t="s">
        <v>427</v>
      </c>
      <c r="B50" s="5" t="s">
        <v>16</v>
      </c>
      <c r="D50" s="5" t="s">
        <v>288</v>
      </c>
      <c r="E50" s="13" t="s">
        <v>397</v>
      </c>
      <c r="F50" s="5" t="s">
        <v>312</v>
      </c>
      <c r="G50" s="5" t="s">
        <v>312</v>
      </c>
    </row>
    <row r="51" spans="1:12" ht="15" customHeight="1" x14ac:dyDescent="0.75">
      <c r="A51" s="16" t="s">
        <v>428</v>
      </c>
      <c r="B51" s="5" t="s">
        <v>16</v>
      </c>
      <c r="D51" s="5" t="s">
        <v>288</v>
      </c>
      <c r="E51" s="13" t="s">
        <v>398</v>
      </c>
      <c r="F51" s="5" t="s">
        <v>312</v>
      </c>
      <c r="G51" s="5" t="s">
        <v>312</v>
      </c>
    </row>
    <row r="52" spans="1:12" ht="127.75" customHeight="1" x14ac:dyDescent="0.75">
      <c r="A52" s="16" t="s">
        <v>29</v>
      </c>
      <c r="B52" s="5" t="s">
        <v>22</v>
      </c>
      <c r="C52" s="6">
        <v>46292</v>
      </c>
      <c r="D52" s="5" t="s">
        <v>287</v>
      </c>
      <c r="E52" s="5" t="s">
        <v>454</v>
      </c>
      <c r="F52" s="5" t="s">
        <v>19</v>
      </c>
      <c r="G52" s="5" t="s">
        <v>19</v>
      </c>
      <c r="H52" s="5" t="s">
        <v>305</v>
      </c>
      <c r="I52" s="5" t="s">
        <v>283</v>
      </c>
      <c r="J52" s="7" t="s">
        <v>452</v>
      </c>
      <c r="K52" s="8" t="s">
        <v>29</v>
      </c>
      <c r="L52" s="5" t="s">
        <v>19</v>
      </c>
    </row>
    <row r="53" spans="1:12" ht="15" customHeight="1" x14ac:dyDescent="0.75">
      <c r="A53" s="16" t="s">
        <v>30</v>
      </c>
      <c r="B53" s="5" t="s">
        <v>22</v>
      </c>
      <c r="C53" s="6">
        <v>46294</v>
      </c>
      <c r="D53" s="5" t="s">
        <v>287</v>
      </c>
      <c r="F53" s="5" t="s">
        <v>19</v>
      </c>
      <c r="G53" s="5" t="s">
        <v>19</v>
      </c>
      <c r="H53" s="5" t="s">
        <v>305</v>
      </c>
      <c r="I53" s="5" t="s">
        <v>283</v>
      </c>
    </row>
    <row r="54" spans="1:12" ht="15" customHeight="1" x14ac:dyDescent="0.75">
      <c r="A54" s="16" t="s">
        <v>31</v>
      </c>
      <c r="B54" s="5" t="s">
        <v>22</v>
      </c>
    </row>
    <row r="55" spans="1:12" ht="15" customHeight="1" x14ac:dyDescent="0.75">
      <c r="A55" s="16" t="s">
        <v>32</v>
      </c>
      <c r="B55" s="5" t="s">
        <v>22</v>
      </c>
    </row>
    <row r="56" spans="1:12" ht="15" customHeight="1" x14ac:dyDescent="0.75">
      <c r="A56" s="16" t="s">
        <v>33</v>
      </c>
      <c r="B56" s="5" t="s">
        <v>22</v>
      </c>
    </row>
    <row r="57" spans="1:12" ht="15" customHeight="1" x14ac:dyDescent="0.75">
      <c r="A57" s="16" t="s">
        <v>34</v>
      </c>
      <c r="B57" s="5" t="s">
        <v>22</v>
      </c>
    </row>
    <row r="58" spans="1:12" ht="15" customHeight="1" x14ac:dyDescent="0.75">
      <c r="A58" s="16" t="s">
        <v>35</v>
      </c>
      <c r="B58" s="5" t="s">
        <v>22</v>
      </c>
    </row>
    <row r="59" spans="1:12" ht="15" customHeight="1" x14ac:dyDescent="0.75">
      <c r="A59" s="16" t="s">
        <v>36</v>
      </c>
      <c r="B59" s="5" t="s">
        <v>22</v>
      </c>
    </row>
    <row r="60" spans="1:12" ht="126.5" customHeight="1" x14ac:dyDescent="0.75">
      <c r="A60" s="16" t="s">
        <v>37</v>
      </c>
      <c r="B60" s="5" t="s">
        <v>22</v>
      </c>
      <c r="C60" s="6">
        <v>46294</v>
      </c>
      <c r="E60" s="5" t="s">
        <v>453</v>
      </c>
      <c r="F60" s="5" t="s">
        <v>19</v>
      </c>
      <c r="G60" s="5" t="s">
        <v>19</v>
      </c>
      <c r="H60" s="5" t="s">
        <v>305</v>
      </c>
      <c r="I60" s="5" t="s">
        <v>283</v>
      </c>
      <c r="J60" s="7" t="s">
        <v>452</v>
      </c>
      <c r="K60" s="8" t="s">
        <v>37</v>
      </c>
    </row>
    <row r="61" spans="1:12" ht="24" customHeight="1" x14ac:dyDescent="0.75">
      <c r="A61" s="16" t="s">
        <v>38</v>
      </c>
      <c r="B61" s="5" t="s">
        <v>22</v>
      </c>
      <c r="C61" s="6">
        <v>46294</v>
      </c>
      <c r="D61" s="5" t="s">
        <v>17</v>
      </c>
      <c r="E61" s="5" t="s">
        <v>429</v>
      </c>
      <c r="F61" s="5" t="s">
        <v>19</v>
      </c>
      <c r="G61" s="5" t="s">
        <v>297</v>
      </c>
      <c r="H61" s="5" t="s">
        <v>305</v>
      </c>
      <c r="I61" s="5" t="s">
        <v>283</v>
      </c>
      <c r="J61" s="7" t="s">
        <v>443</v>
      </c>
      <c r="K61" s="19" t="s">
        <v>38</v>
      </c>
    </row>
    <row r="62" spans="1:12" ht="84.5" customHeight="1" x14ac:dyDescent="0.75">
      <c r="A62" s="16" t="s">
        <v>39</v>
      </c>
      <c r="B62" s="5" t="s">
        <v>22</v>
      </c>
      <c r="C62" s="6">
        <v>46294</v>
      </c>
      <c r="D62" s="5" t="s">
        <v>17</v>
      </c>
      <c r="E62" s="5" t="s">
        <v>430</v>
      </c>
      <c r="F62" s="5" t="s">
        <v>297</v>
      </c>
      <c r="G62" s="5" t="s">
        <v>297</v>
      </c>
      <c r="H62" s="5" t="s">
        <v>305</v>
      </c>
      <c r="I62" s="5" t="s">
        <v>283</v>
      </c>
      <c r="J62" s="7" t="s">
        <v>444</v>
      </c>
      <c r="K62" s="8" t="s">
        <v>39</v>
      </c>
      <c r="L62" s="5" t="s">
        <v>19</v>
      </c>
    </row>
    <row r="63" spans="1:12" ht="15" customHeight="1" x14ac:dyDescent="0.75">
      <c r="A63" s="16" t="s">
        <v>40</v>
      </c>
      <c r="B63" s="5" t="s">
        <v>22</v>
      </c>
      <c r="C63" s="6">
        <v>46294</v>
      </c>
      <c r="D63" s="5" t="s">
        <v>17</v>
      </c>
      <c r="E63" s="5" t="s">
        <v>431</v>
      </c>
      <c r="F63" s="5" t="s">
        <v>297</v>
      </c>
      <c r="G63" s="5" t="s">
        <v>297</v>
      </c>
      <c r="H63" s="5" t="s">
        <v>305</v>
      </c>
      <c r="I63" s="5" t="s">
        <v>283</v>
      </c>
      <c r="J63" s="7" t="s">
        <v>445</v>
      </c>
      <c r="K63" s="8" t="s">
        <v>40</v>
      </c>
      <c r="L63" s="5" t="s">
        <v>19</v>
      </c>
    </row>
    <row r="64" spans="1:12" ht="15" customHeight="1" x14ac:dyDescent="0.75">
      <c r="A64" s="16" t="s">
        <v>41</v>
      </c>
      <c r="B64" s="5" t="s">
        <v>22</v>
      </c>
      <c r="C64" s="6">
        <v>46294</v>
      </c>
      <c r="D64" s="5" t="s">
        <v>17</v>
      </c>
      <c r="E64" s="5" t="s">
        <v>432</v>
      </c>
      <c r="F64" s="5" t="s">
        <v>297</v>
      </c>
      <c r="G64" s="5" t="s">
        <v>297</v>
      </c>
      <c r="H64" s="5" t="s">
        <v>305</v>
      </c>
      <c r="I64" s="5" t="s">
        <v>283</v>
      </c>
      <c r="J64" s="7" t="s">
        <v>445</v>
      </c>
      <c r="K64" s="8" t="s">
        <v>446</v>
      </c>
      <c r="L64" s="5" t="s">
        <v>19</v>
      </c>
    </row>
    <row r="65" spans="1:12" ht="15" customHeight="1" x14ac:dyDescent="0.75">
      <c r="A65" s="16" t="s">
        <v>42</v>
      </c>
      <c r="B65" s="5" t="s">
        <v>22</v>
      </c>
      <c r="C65" s="6">
        <v>46294</v>
      </c>
      <c r="D65" s="5" t="s">
        <v>17</v>
      </c>
      <c r="E65" s="5" t="s">
        <v>433</v>
      </c>
      <c r="F65" s="5" t="s">
        <v>297</v>
      </c>
      <c r="G65" s="5" t="s">
        <v>297</v>
      </c>
      <c r="H65" s="5" t="s">
        <v>305</v>
      </c>
      <c r="I65" s="5" t="s">
        <v>283</v>
      </c>
      <c r="J65" s="7" t="s">
        <v>445</v>
      </c>
      <c r="K65" s="8" t="s">
        <v>42</v>
      </c>
      <c r="L65" s="5" t="s">
        <v>19</v>
      </c>
    </row>
    <row r="66" spans="1:12" ht="96" customHeight="1" x14ac:dyDescent="0.75">
      <c r="A66" s="16" t="s">
        <v>43</v>
      </c>
      <c r="B66" s="5" t="s">
        <v>22</v>
      </c>
      <c r="C66" s="6">
        <v>46294</v>
      </c>
      <c r="D66" s="5" t="s">
        <v>17</v>
      </c>
      <c r="E66" s="5" t="s">
        <v>434</v>
      </c>
      <c r="F66" s="5" t="s">
        <v>297</v>
      </c>
      <c r="G66" s="5" t="s">
        <v>297</v>
      </c>
      <c r="H66" s="5" t="s">
        <v>305</v>
      </c>
      <c r="I66" s="5" t="s">
        <v>283</v>
      </c>
      <c r="J66" s="7" t="s">
        <v>447</v>
      </c>
      <c r="K66" s="8" t="s">
        <v>43</v>
      </c>
      <c r="L66" s="5" t="s">
        <v>19</v>
      </c>
    </row>
    <row r="67" spans="1:12" ht="114" customHeight="1" x14ac:dyDescent="0.75">
      <c r="A67" s="16" t="s">
        <v>44</v>
      </c>
      <c r="B67" s="5" t="s">
        <v>22</v>
      </c>
      <c r="C67" s="6">
        <v>46294</v>
      </c>
      <c r="D67" s="5" t="s">
        <v>17</v>
      </c>
      <c r="E67" s="5" t="s">
        <v>440</v>
      </c>
      <c r="F67" s="5" t="s">
        <v>19</v>
      </c>
      <c r="G67" s="5" t="s">
        <v>19</v>
      </c>
      <c r="H67" s="5" t="s">
        <v>305</v>
      </c>
      <c r="I67" s="5" t="s">
        <v>283</v>
      </c>
      <c r="J67" s="7" t="s">
        <v>448</v>
      </c>
      <c r="K67" s="8" t="s">
        <v>44</v>
      </c>
      <c r="L67" s="5" t="s">
        <v>308</v>
      </c>
    </row>
    <row r="68" spans="1:12" ht="15" customHeight="1" x14ac:dyDescent="0.75">
      <c r="A68" s="16" t="s">
        <v>45</v>
      </c>
      <c r="B68" s="5" t="s">
        <v>22</v>
      </c>
      <c r="C68" s="6">
        <v>46294</v>
      </c>
      <c r="D68" s="5" t="s">
        <v>17</v>
      </c>
      <c r="E68" s="5" t="s">
        <v>435</v>
      </c>
      <c r="F68" s="5" t="s">
        <v>19</v>
      </c>
      <c r="G68" s="5" t="s">
        <v>297</v>
      </c>
      <c r="H68" s="5" t="s">
        <v>305</v>
      </c>
      <c r="I68" s="5" t="s">
        <v>283</v>
      </c>
      <c r="J68" s="7" t="s">
        <v>367</v>
      </c>
      <c r="L68" s="5" t="s">
        <v>308</v>
      </c>
    </row>
    <row r="69" spans="1:12" ht="15" customHeight="1" x14ac:dyDescent="0.75">
      <c r="A69" s="16" t="s">
        <v>46</v>
      </c>
      <c r="B69" s="5" t="s">
        <v>22</v>
      </c>
      <c r="C69" s="6">
        <v>46294</v>
      </c>
      <c r="D69" s="5" t="s">
        <v>286</v>
      </c>
      <c r="E69" s="5" t="s">
        <v>442</v>
      </c>
      <c r="F69" s="5" t="s">
        <v>297</v>
      </c>
      <c r="G69" s="5" t="s">
        <v>297</v>
      </c>
      <c r="H69" s="5" t="s">
        <v>305</v>
      </c>
      <c r="I69" s="5" t="s">
        <v>283</v>
      </c>
      <c r="J69" s="7" t="s">
        <v>449</v>
      </c>
      <c r="K69" s="8" t="s">
        <v>46</v>
      </c>
      <c r="L69" s="5" t="s">
        <v>19</v>
      </c>
    </row>
    <row r="70" spans="1:12" ht="15" customHeight="1" x14ac:dyDescent="0.75">
      <c r="A70" s="16" t="s">
        <v>47</v>
      </c>
      <c r="B70" s="5" t="s">
        <v>22</v>
      </c>
      <c r="C70" s="6">
        <v>46294</v>
      </c>
      <c r="D70" s="5" t="s">
        <v>17</v>
      </c>
      <c r="E70" s="5" t="s">
        <v>436</v>
      </c>
      <c r="F70" s="5" t="s">
        <v>297</v>
      </c>
      <c r="G70" s="5" t="s">
        <v>297</v>
      </c>
      <c r="H70" s="5" t="s">
        <v>305</v>
      </c>
      <c r="I70" s="5" t="s">
        <v>283</v>
      </c>
      <c r="J70" s="7" t="s">
        <v>450</v>
      </c>
      <c r="K70" s="8" t="s">
        <v>47</v>
      </c>
      <c r="L70" s="5" t="s">
        <v>19</v>
      </c>
    </row>
    <row r="71" spans="1:12" ht="15" customHeight="1" x14ac:dyDescent="0.75">
      <c r="A71" s="16" t="s">
        <v>48</v>
      </c>
      <c r="B71" s="5" t="s">
        <v>22</v>
      </c>
      <c r="C71" s="6">
        <v>46294</v>
      </c>
      <c r="D71" s="5" t="s">
        <v>17</v>
      </c>
      <c r="E71" s="5" t="s">
        <v>437</v>
      </c>
      <c r="F71" s="5" t="s">
        <v>297</v>
      </c>
      <c r="G71" s="5" t="s">
        <v>297</v>
      </c>
      <c r="H71" s="5" t="s">
        <v>305</v>
      </c>
      <c r="I71" s="5" t="s">
        <v>283</v>
      </c>
      <c r="J71" s="7" t="s">
        <v>450</v>
      </c>
      <c r="K71" s="8" t="s">
        <v>48</v>
      </c>
      <c r="L71" s="5" t="s">
        <v>19</v>
      </c>
    </row>
    <row r="72" spans="1:12" ht="15" customHeight="1" x14ac:dyDescent="0.75">
      <c r="A72" s="16" t="s">
        <v>49</v>
      </c>
      <c r="B72" s="5" t="s">
        <v>22</v>
      </c>
      <c r="C72" s="6">
        <v>46294</v>
      </c>
      <c r="D72" s="5" t="s">
        <v>17</v>
      </c>
      <c r="E72" s="5" t="s">
        <v>438</v>
      </c>
      <c r="F72" s="5" t="s">
        <v>19</v>
      </c>
      <c r="G72" s="5" t="s">
        <v>19</v>
      </c>
      <c r="H72" s="20" t="s">
        <v>20</v>
      </c>
      <c r="I72" s="5" t="s">
        <v>21</v>
      </c>
      <c r="K72" s="8" t="s">
        <v>49</v>
      </c>
      <c r="L72" s="5" t="s">
        <v>308</v>
      </c>
    </row>
    <row r="73" spans="1:12" ht="15" customHeight="1" x14ac:dyDescent="0.75">
      <c r="A73" s="16" t="s">
        <v>50</v>
      </c>
      <c r="B73" s="5" t="s">
        <v>22</v>
      </c>
      <c r="C73" s="6">
        <v>46294</v>
      </c>
      <c r="D73" s="5" t="s">
        <v>17</v>
      </c>
      <c r="E73" s="5" t="s">
        <v>439</v>
      </c>
      <c r="F73" s="5" t="s">
        <v>19</v>
      </c>
      <c r="G73" s="5" t="s">
        <v>19</v>
      </c>
      <c r="H73" s="5" t="s">
        <v>20</v>
      </c>
      <c r="I73" s="5" t="s">
        <v>21</v>
      </c>
      <c r="K73" s="8" t="s">
        <v>50</v>
      </c>
      <c r="L73" s="5" t="s">
        <v>308</v>
      </c>
    </row>
    <row r="74" spans="1:12" ht="15" customHeight="1" x14ac:dyDescent="0.75">
      <c r="A74" s="16" t="s">
        <v>51</v>
      </c>
      <c r="B74" s="5" t="s">
        <v>22</v>
      </c>
      <c r="C74" s="6">
        <v>46294</v>
      </c>
      <c r="D74" s="5" t="s">
        <v>17</v>
      </c>
      <c r="E74" s="5" t="s">
        <v>441</v>
      </c>
      <c r="F74" s="5" t="s">
        <v>19</v>
      </c>
      <c r="G74" s="5" t="s">
        <v>19</v>
      </c>
      <c r="H74" s="5" t="s">
        <v>20</v>
      </c>
      <c r="I74" s="5" t="s">
        <v>21</v>
      </c>
      <c r="K74" s="8" t="s">
        <v>451</v>
      </c>
      <c r="L74" s="5" t="s">
        <v>308</v>
      </c>
    </row>
    <row r="75" spans="1:12" ht="15" customHeight="1" x14ac:dyDescent="0.75">
      <c r="A75" s="16" t="s">
        <v>52</v>
      </c>
      <c r="B75" s="5" t="s">
        <v>293</v>
      </c>
    </row>
    <row r="76" spans="1:12" ht="15" customHeight="1" x14ac:dyDescent="0.75">
      <c r="A76" s="16" t="s">
        <v>53</v>
      </c>
    </row>
    <row r="77" spans="1:12" ht="15" customHeight="1" x14ac:dyDescent="0.75">
      <c r="A77" s="16" t="s">
        <v>54</v>
      </c>
    </row>
    <row r="78" spans="1:12" ht="15" customHeight="1" x14ac:dyDescent="0.75">
      <c r="A78" s="16" t="s">
        <v>55</v>
      </c>
    </row>
    <row r="79" spans="1:12" ht="15" customHeight="1" x14ac:dyDescent="0.75">
      <c r="A79" s="16" t="s">
        <v>56</v>
      </c>
    </row>
    <row r="80" spans="1:12" ht="15" customHeight="1" x14ac:dyDescent="0.75">
      <c r="A80" s="16" t="s">
        <v>57</v>
      </c>
    </row>
    <row r="81" spans="1:1" ht="15" customHeight="1" x14ac:dyDescent="0.75">
      <c r="A81" s="16" t="s">
        <v>58</v>
      </c>
    </row>
    <row r="82" spans="1:1" ht="15" customHeight="1" x14ac:dyDescent="0.75">
      <c r="A82" s="16" t="s">
        <v>59</v>
      </c>
    </row>
    <row r="83" spans="1:1" ht="15" customHeight="1" x14ac:dyDescent="0.75">
      <c r="A83" s="16" t="s">
        <v>60</v>
      </c>
    </row>
    <row r="84" spans="1:1" ht="15" customHeight="1" x14ac:dyDescent="0.75">
      <c r="A84" s="16" t="s">
        <v>61</v>
      </c>
    </row>
    <row r="85" spans="1:1" ht="15" customHeight="1" x14ac:dyDescent="0.75">
      <c r="A85" s="16" t="s">
        <v>62</v>
      </c>
    </row>
    <row r="86" spans="1:1" ht="15" customHeight="1" x14ac:dyDescent="0.75">
      <c r="A86" s="16" t="s">
        <v>63</v>
      </c>
    </row>
    <row r="87" spans="1:1" ht="15" customHeight="1" x14ac:dyDescent="0.75">
      <c r="A87" s="16" t="s">
        <v>64</v>
      </c>
    </row>
    <row r="88" spans="1:1" ht="15" customHeight="1" x14ac:dyDescent="0.75">
      <c r="A88" s="16" t="s">
        <v>65</v>
      </c>
    </row>
    <row r="89" spans="1:1" ht="15" customHeight="1" x14ac:dyDescent="0.75">
      <c r="A89" s="16" t="s">
        <v>66</v>
      </c>
    </row>
    <row r="90" spans="1:1" ht="15" customHeight="1" x14ac:dyDescent="0.75">
      <c r="A90" s="16" t="s">
        <v>67</v>
      </c>
    </row>
    <row r="91" spans="1:1" ht="15" customHeight="1" x14ac:dyDescent="0.75">
      <c r="A91" s="16" t="s">
        <v>68</v>
      </c>
    </row>
    <row r="92" spans="1:1" ht="15" customHeight="1" x14ac:dyDescent="0.75">
      <c r="A92" s="16" t="s">
        <v>69</v>
      </c>
    </row>
    <row r="93" spans="1:1" ht="15" customHeight="1" x14ac:dyDescent="0.75">
      <c r="A93" s="16" t="s">
        <v>70</v>
      </c>
    </row>
    <row r="94" spans="1:1" ht="15" customHeight="1" x14ac:dyDescent="0.75">
      <c r="A94" s="16" t="s">
        <v>71</v>
      </c>
    </row>
    <row r="95" spans="1:1" ht="15" customHeight="1" x14ac:dyDescent="0.75">
      <c r="A95" s="16" t="s">
        <v>72</v>
      </c>
    </row>
    <row r="96" spans="1:1" ht="15" customHeight="1" x14ac:dyDescent="0.75">
      <c r="A96" s="16" t="s">
        <v>73</v>
      </c>
    </row>
    <row r="97" spans="1:1" ht="15" customHeight="1" x14ac:dyDescent="0.75">
      <c r="A97" s="16" t="s">
        <v>74</v>
      </c>
    </row>
    <row r="98" spans="1:1" ht="15" customHeight="1" x14ac:dyDescent="0.75">
      <c r="A98" s="16" t="s">
        <v>75</v>
      </c>
    </row>
    <row r="99" spans="1:1" ht="15" customHeight="1" x14ac:dyDescent="0.75">
      <c r="A99" s="16" t="s">
        <v>76</v>
      </c>
    </row>
    <row r="100" spans="1:1" ht="15" customHeight="1" x14ac:dyDescent="0.75">
      <c r="A100" s="16" t="s">
        <v>77</v>
      </c>
    </row>
    <row r="101" spans="1:1" ht="15" customHeight="1" x14ac:dyDescent="0.75">
      <c r="A101" s="16" t="s">
        <v>78</v>
      </c>
    </row>
    <row r="102" spans="1:1" ht="15" customHeight="1" x14ac:dyDescent="0.75">
      <c r="A102" s="16" t="s">
        <v>79</v>
      </c>
    </row>
    <row r="103" spans="1:1" ht="15" customHeight="1" x14ac:dyDescent="0.75">
      <c r="A103" s="16" t="s">
        <v>80</v>
      </c>
    </row>
    <row r="104" spans="1:1" ht="15" customHeight="1" x14ac:dyDescent="0.75">
      <c r="A104" s="16" t="s">
        <v>81</v>
      </c>
    </row>
    <row r="105" spans="1:1" ht="15" customHeight="1" x14ac:dyDescent="0.75">
      <c r="A105" s="16" t="s">
        <v>82</v>
      </c>
    </row>
    <row r="106" spans="1:1" ht="15" customHeight="1" x14ac:dyDescent="0.75">
      <c r="A106" s="16" t="s">
        <v>83</v>
      </c>
    </row>
    <row r="107" spans="1:1" ht="15" customHeight="1" x14ac:dyDescent="0.75">
      <c r="A107" s="16" t="s">
        <v>84</v>
      </c>
    </row>
    <row r="108" spans="1:1" ht="15" customHeight="1" x14ac:dyDescent="0.75">
      <c r="A108" s="16" t="s">
        <v>85</v>
      </c>
    </row>
    <row r="109" spans="1:1" ht="15" customHeight="1" x14ac:dyDescent="0.75">
      <c r="A109" s="16" t="s">
        <v>86</v>
      </c>
    </row>
    <row r="110" spans="1:1" ht="15" customHeight="1" x14ac:dyDescent="0.75">
      <c r="A110" s="16" t="s">
        <v>87</v>
      </c>
    </row>
    <row r="111" spans="1:1" ht="15" customHeight="1" x14ac:dyDescent="0.75">
      <c r="A111" s="16" t="s">
        <v>88</v>
      </c>
    </row>
    <row r="112" spans="1:1" ht="15" customHeight="1" x14ac:dyDescent="0.75">
      <c r="A112" s="16" t="s">
        <v>89</v>
      </c>
    </row>
    <row r="113" spans="1:1" ht="15" customHeight="1" x14ac:dyDescent="0.75">
      <c r="A113" s="16" t="s">
        <v>90</v>
      </c>
    </row>
    <row r="114" spans="1:1" ht="15" customHeight="1" x14ac:dyDescent="0.75">
      <c r="A114" s="16" t="s">
        <v>91</v>
      </c>
    </row>
    <row r="115" spans="1:1" ht="15" customHeight="1" x14ac:dyDescent="0.75">
      <c r="A115" s="16" t="s">
        <v>92</v>
      </c>
    </row>
    <row r="116" spans="1:1" ht="15" customHeight="1" x14ac:dyDescent="0.75">
      <c r="A116" s="16" t="s">
        <v>93</v>
      </c>
    </row>
    <row r="117" spans="1:1" ht="15" customHeight="1" x14ac:dyDescent="0.75">
      <c r="A117" s="16" t="s">
        <v>94</v>
      </c>
    </row>
    <row r="118" spans="1:1" ht="15" customHeight="1" x14ac:dyDescent="0.75">
      <c r="A118" s="16" t="s">
        <v>95</v>
      </c>
    </row>
    <row r="119" spans="1:1" ht="15" customHeight="1" x14ac:dyDescent="0.75">
      <c r="A119" s="16" t="s">
        <v>96</v>
      </c>
    </row>
    <row r="120" spans="1:1" ht="15" customHeight="1" x14ac:dyDescent="0.75">
      <c r="A120" s="16" t="s">
        <v>97</v>
      </c>
    </row>
    <row r="121" spans="1:1" ht="15" customHeight="1" x14ac:dyDescent="0.75">
      <c r="A121" s="16" t="s">
        <v>98</v>
      </c>
    </row>
    <row r="122" spans="1:1" ht="15" customHeight="1" x14ac:dyDescent="0.75">
      <c r="A122" s="16" t="s">
        <v>99</v>
      </c>
    </row>
    <row r="123" spans="1:1" ht="15" customHeight="1" x14ac:dyDescent="0.75">
      <c r="A123" s="16" t="s">
        <v>100</v>
      </c>
    </row>
    <row r="124" spans="1:1" ht="15" customHeight="1" x14ac:dyDescent="0.75">
      <c r="A124" s="16" t="s">
        <v>101</v>
      </c>
    </row>
    <row r="125" spans="1:1" ht="15" customHeight="1" x14ac:dyDescent="0.75">
      <c r="A125" s="16" t="s">
        <v>102</v>
      </c>
    </row>
    <row r="126" spans="1:1" ht="15" customHeight="1" x14ac:dyDescent="0.75">
      <c r="A126" s="16" t="s">
        <v>103</v>
      </c>
    </row>
    <row r="127" spans="1:1" ht="15" customHeight="1" x14ac:dyDescent="0.75">
      <c r="A127" s="16" t="s">
        <v>104</v>
      </c>
    </row>
    <row r="128" spans="1:1" ht="15" customHeight="1" x14ac:dyDescent="0.75">
      <c r="A128" s="16" t="s">
        <v>105</v>
      </c>
    </row>
    <row r="129" spans="1:1" ht="15" customHeight="1" x14ac:dyDescent="0.75">
      <c r="A129" s="16" t="s">
        <v>106</v>
      </c>
    </row>
    <row r="130" spans="1:1" ht="15" customHeight="1" x14ac:dyDescent="0.75">
      <c r="A130" s="16" t="s">
        <v>107</v>
      </c>
    </row>
    <row r="131" spans="1:1" ht="15" customHeight="1" x14ac:dyDescent="0.75">
      <c r="A131" s="16" t="s">
        <v>108</v>
      </c>
    </row>
    <row r="132" spans="1:1" ht="15" customHeight="1" x14ac:dyDescent="0.75">
      <c r="A132" s="16" t="s">
        <v>109</v>
      </c>
    </row>
    <row r="133" spans="1:1" ht="15" customHeight="1" x14ac:dyDescent="0.75">
      <c r="A133" s="16" t="s">
        <v>110</v>
      </c>
    </row>
    <row r="134" spans="1:1" ht="15" customHeight="1" x14ac:dyDescent="0.75">
      <c r="A134" s="16" t="s">
        <v>111</v>
      </c>
    </row>
    <row r="135" spans="1:1" ht="15" customHeight="1" x14ac:dyDescent="0.75">
      <c r="A135" s="16" t="s">
        <v>112</v>
      </c>
    </row>
    <row r="136" spans="1:1" ht="15" customHeight="1" x14ac:dyDescent="0.75">
      <c r="A136" s="16" t="s">
        <v>113</v>
      </c>
    </row>
    <row r="137" spans="1:1" ht="15" customHeight="1" x14ac:dyDescent="0.75">
      <c r="A137" s="16" t="s">
        <v>114</v>
      </c>
    </row>
    <row r="138" spans="1:1" ht="15" customHeight="1" x14ac:dyDescent="0.75">
      <c r="A138" s="16" t="s">
        <v>115</v>
      </c>
    </row>
    <row r="139" spans="1:1" ht="15" customHeight="1" x14ac:dyDescent="0.75">
      <c r="A139" s="16" t="s">
        <v>116</v>
      </c>
    </row>
    <row r="140" spans="1:1" ht="15" customHeight="1" x14ac:dyDescent="0.75">
      <c r="A140" s="16" t="s">
        <v>117</v>
      </c>
    </row>
    <row r="141" spans="1:1" ht="15" customHeight="1" x14ac:dyDescent="0.75">
      <c r="A141" s="16" t="s">
        <v>118</v>
      </c>
    </row>
    <row r="142" spans="1:1" ht="15" customHeight="1" x14ac:dyDescent="0.75">
      <c r="A142" s="16" t="s">
        <v>119</v>
      </c>
    </row>
    <row r="143" spans="1:1" ht="15" customHeight="1" x14ac:dyDescent="0.75">
      <c r="A143" s="16" t="s">
        <v>120</v>
      </c>
    </row>
    <row r="144" spans="1:1" ht="15" customHeight="1" x14ac:dyDescent="0.75">
      <c r="A144" s="16" t="s">
        <v>121</v>
      </c>
    </row>
    <row r="145" spans="1:1" ht="15" customHeight="1" x14ac:dyDescent="0.75">
      <c r="A145" s="16" t="s">
        <v>122</v>
      </c>
    </row>
    <row r="146" spans="1:1" ht="15" customHeight="1" x14ac:dyDescent="0.75">
      <c r="A146" s="16" t="s">
        <v>123</v>
      </c>
    </row>
    <row r="147" spans="1:1" ht="15" customHeight="1" x14ac:dyDescent="0.75">
      <c r="A147" s="16" t="s">
        <v>124</v>
      </c>
    </row>
    <row r="148" spans="1:1" ht="15" customHeight="1" x14ac:dyDescent="0.75">
      <c r="A148" s="16" t="s">
        <v>125</v>
      </c>
    </row>
    <row r="149" spans="1:1" ht="15" customHeight="1" x14ac:dyDescent="0.75">
      <c r="A149" s="16" t="s">
        <v>126</v>
      </c>
    </row>
    <row r="150" spans="1:1" ht="15" customHeight="1" x14ac:dyDescent="0.75">
      <c r="A150" s="16" t="s">
        <v>127</v>
      </c>
    </row>
    <row r="151" spans="1:1" ht="15" customHeight="1" x14ac:dyDescent="0.75">
      <c r="A151" s="16" t="s">
        <v>128</v>
      </c>
    </row>
    <row r="152" spans="1:1" ht="15" customHeight="1" x14ac:dyDescent="0.75">
      <c r="A152" s="16" t="s">
        <v>129</v>
      </c>
    </row>
    <row r="153" spans="1:1" ht="15" customHeight="1" x14ac:dyDescent="0.75">
      <c r="A153" s="16" t="s">
        <v>130</v>
      </c>
    </row>
    <row r="154" spans="1:1" ht="15" customHeight="1" x14ac:dyDescent="0.75">
      <c r="A154" s="16" t="s">
        <v>131</v>
      </c>
    </row>
    <row r="155" spans="1:1" ht="15" customHeight="1" x14ac:dyDescent="0.75">
      <c r="A155" s="16" t="s">
        <v>132</v>
      </c>
    </row>
    <row r="156" spans="1:1" ht="15" customHeight="1" x14ac:dyDescent="0.75">
      <c r="A156" s="16" t="s">
        <v>133</v>
      </c>
    </row>
    <row r="157" spans="1:1" ht="15" customHeight="1" x14ac:dyDescent="0.75">
      <c r="A157" s="16" t="s">
        <v>134</v>
      </c>
    </row>
    <row r="158" spans="1:1" ht="15" customHeight="1" x14ac:dyDescent="0.75">
      <c r="A158" s="16" t="s">
        <v>135</v>
      </c>
    </row>
    <row r="159" spans="1:1" ht="15" customHeight="1" x14ac:dyDescent="0.75">
      <c r="A159" s="16" t="s">
        <v>136</v>
      </c>
    </row>
    <row r="160" spans="1:1" ht="15" customHeight="1" x14ac:dyDescent="0.75">
      <c r="A160" s="16" t="s">
        <v>137</v>
      </c>
    </row>
    <row r="161" spans="1:1" ht="15" customHeight="1" x14ac:dyDescent="0.75">
      <c r="A161" s="16" t="s">
        <v>138</v>
      </c>
    </row>
    <row r="162" spans="1:1" ht="15" customHeight="1" x14ac:dyDescent="0.75">
      <c r="A162" s="16" t="s">
        <v>139</v>
      </c>
    </row>
    <row r="163" spans="1:1" ht="15" customHeight="1" x14ac:dyDescent="0.75">
      <c r="A163" s="16" t="s">
        <v>140</v>
      </c>
    </row>
    <row r="164" spans="1:1" ht="15" customHeight="1" x14ac:dyDescent="0.75">
      <c r="A164" s="16" t="s">
        <v>141</v>
      </c>
    </row>
    <row r="165" spans="1:1" ht="15" customHeight="1" x14ac:dyDescent="0.75">
      <c r="A165" s="16" t="s">
        <v>142</v>
      </c>
    </row>
    <row r="166" spans="1:1" ht="15" customHeight="1" x14ac:dyDescent="0.75">
      <c r="A166" s="16" t="s">
        <v>143</v>
      </c>
    </row>
    <row r="167" spans="1:1" ht="15" customHeight="1" x14ac:dyDescent="0.75">
      <c r="A167" s="16" t="s">
        <v>144</v>
      </c>
    </row>
    <row r="168" spans="1:1" ht="15" customHeight="1" x14ac:dyDescent="0.75">
      <c r="A168" s="16" t="s">
        <v>145</v>
      </c>
    </row>
    <row r="169" spans="1:1" ht="15" customHeight="1" x14ac:dyDescent="0.75">
      <c r="A169" s="16" t="s">
        <v>146</v>
      </c>
    </row>
    <row r="170" spans="1:1" ht="15" customHeight="1" x14ac:dyDescent="0.75">
      <c r="A170" s="16" t="s">
        <v>147</v>
      </c>
    </row>
    <row r="171" spans="1:1" ht="15" customHeight="1" x14ac:dyDescent="0.75">
      <c r="A171" s="16" t="s">
        <v>148</v>
      </c>
    </row>
    <row r="172" spans="1:1" ht="15" customHeight="1" x14ac:dyDescent="0.75">
      <c r="A172" s="16" t="s">
        <v>149</v>
      </c>
    </row>
    <row r="173" spans="1:1" ht="15" customHeight="1" x14ac:dyDescent="0.75">
      <c r="A173" s="16" t="s">
        <v>150</v>
      </c>
    </row>
    <row r="174" spans="1:1" ht="15" customHeight="1" x14ac:dyDescent="0.75">
      <c r="A174" s="16" t="s">
        <v>151</v>
      </c>
    </row>
    <row r="175" spans="1:1" ht="15" customHeight="1" x14ac:dyDescent="0.75">
      <c r="A175" s="16" t="s">
        <v>152</v>
      </c>
    </row>
    <row r="176" spans="1:1" ht="15" customHeight="1" x14ac:dyDescent="0.75">
      <c r="A176" s="16" t="s">
        <v>153</v>
      </c>
    </row>
    <row r="177" spans="1:1" ht="15" customHeight="1" x14ac:dyDescent="0.75">
      <c r="A177" s="16" t="s">
        <v>154</v>
      </c>
    </row>
    <row r="178" spans="1:1" ht="15" customHeight="1" x14ac:dyDescent="0.75">
      <c r="A178" s="16" t="s">
        <v>155</v>
      </c>
    </row>
    <row r="179" spans="1:1" ht="15" customHeight="1" x14ac:dyDescent="0.75">
      <c r="A179" s="16" t="s">
        <v>156</v>
      </c>
    </row>
    <row r="180" spans="1:1" ht="15" customHeight="1" x14ac:dyDescent="0.75">
      <c r="A180" s="16" t="s">
        <v>157</v>
      </c>
    </row>
    <row r="181" spans="1:1" ht="15" customHeight="1" x14ac:dyDescent="0.75">
      <c r="A181" s="16" t="s">
        <v>158</v>
      </c>
    </row>
    <row r="182" spans="1:1" ht="15" customHeight="1" x14ac:dyDescent="0.75">
      <c r="A182" s="16" t="s">
        <v>159</v>
      </c>
    </row>
    <row r="183" spans="1:1" ht="15" customHeight="1" x14ac:dyDescent="0.75">
      <c r="A183" s="16" t="s">
        <v>160</v>
      </c>
    </row>
    <row r="184" spans="1:1" ht="15" customHeight="1" x14ac:dyDescent="0.75">
      <c r="A184" s="16" t="s">
        <v>161</v>
      </c>
    </row>
    <row r="185" spans="1:1" ht="15" customHeight="1" x14ac:dyDescent="0.75">
      <c r="A185" s="16" t="s">
        <v>162</v>
      </c>
    </row>
    <row r="186" spans="1:1" ht="15" customHeight="1" x14ac:dyDescent="0.75">
      <c r="A186" s="16" t="s">
        <v>163</v>
      </c>
    </row>
    <row r="187" spans="1:1" ht="15" customHeight="1" x14ac:dyDescent="0.75">
      <c r="A187" s="16" t="s">
        <v>164</v>
      </c>
    </row>
    <row r="188" spans="1:1" ht="15" customHeight="1" x14ac:dyDescent="0.75">
      <c r="A188" s="16" t="s">
        <v>165</v>
      </c>
    </row>
    <row r="189" spans="1:1" ht="15" customHeight="1" x14ac:dyDescent="0.75">
      <c r="A189" s="16" t="s">
        <v>166</v>
      </c>
    </row>
    <row r="190" spans="1:1" ht="15" customHeight="1" x14ac:dyDescent="0.75">
      <c r="A190" s="16" t="s">
        <v>167</v>
      </c>
    </row>
    <row r="191" spans="1:1" ht="15" customHeight="1" x14ac:dyDescent="0.75">
      <c r="A191" s="16" t="s">
        <v>168</v>
      </c>
    </row>
    <row r="192" spans="1:1" ht="15" customHeight="1" x14ac:dyDescent="0.75">
      <c r="A192" s="16" t="s">
        <v>169</v>
      </c>
    </row>
    <row r="193" spans="1:1" ht="15" customHeight="1" x14ac:dyDescent="0.75">
      <c r="A193" s="16" t="s">
        <v>170</v>
      </c>
    </row>
    <row r="194" spans="1:1" ht="15" customHeight="1" x14ac:dyDescent="0.75">
      <c r="A194" s="16" t="s">
        <v>171</v>
      </c>
    </row>
    <row r="195" spans="1:1" ht="15" customHeight="1" x14ac:dyDescent="0.75">
      <c r="A195" s="16" t="s">
        <v>172</v>
      </c>
    </row>
    <row r="196" spans="1:1" ht="15" customHeight="1" x14ac:dyDescent="0.75">
      <c r="A196" s="16" t="s">
        <v>173</v>
      </c>
    </row>
    <row r="197" spans="1:1" ht="15" customHeight="1" x14ac:dyDescent="0.75">
      <c r="A197" s="16" t="s">
        <v>174</v>
      </c>
    </row>
    <row r="198" spans="1:1" ht="15" customHeight="1" x14ac:dyDescent="0.75">
      <c r="A198" s="16" t="s">
        <v>175</v>
      </c>
    </row>
    <row r="199" spans="1:1" ht="15" customHeight="1" x14ac:dyDescent="0.75">
      <c r="A199" s="16" t="s">
        <v>176</v>
      </c>
    </row>
    <row r="200" spans="1:1" ht="15" customHeight="1" x14ac:dyDescent="0.75">
      <c r="A200" s="16" t="s">
        <v>177</v>
      </c>
    </row>
    <row r="201" spans="1:1" ht="15" customHeight="1" x14ac:dyDescent="0.75">
      <c r="A201" s="16" t="s">
        <v>178</v>
      </c>
    </row>
    <row r="202" spans="1:1" ht="15" customHeight="1" x14ac:dyDescent="0.75">
      <c r="A202" s="16" t="s">
        <v>179</v>
      </c>
    </row>
    <row r="203" spans="1:1" ht="15" customHeight="1" x14ac:dyDescent="0.75">
      <c r="A203" s="16" t="s">
        <v>180</v>
      </c>
    </row>
    <row r="204" spans="1:1" ht="15" customHeight="1" x14ac:dyDescent="0.75">
      <c r="A204" s="16" t="s">
        <v>181</v>
      </c>
    </row>
    <row r="205" spans="1:1" ht="15" customHeight="1" x14ac:dyDescent="0.75">
      <c r="A205" s="16" t="s">
        <v>182</v>
      </c>
    </row>
    <row r="206" spans="1:1" ht="15" customHeight="1" x14ac:dyDescent="0.75">
      <c r="A206" s="16" t="s">
        <v>183</v>
      </c>
    </row>
    <row r="207" spans="1:1" ht="15" customHeight="1" x14ac:dyDescent="0.75">
      <c r="A207" s="16" t="s">
        <v>184</v>
      </c>
    </row>
    <row r="208" spans="1:1" ht="15" customHeight="1" x14ac:dyDescent="0.75">
      <c r="A208" s="16" t="s">
        <v>185</v>
      </c>
    </row>
    <row r="209" spans="1:1" ht="15" customHeight="1" x14ac:dyDescent="0.75">
      <c r="A209" s="16" t="s">
        <v>186</v>
      </c>
    </row>
    <row r="210" spans="1:1" ht="15" customHeight="1" x14ac:dyDescent="0.75">
      <c r="A210" s="16" t="s">
        <v>187</v>
      </c>
    </row>
    <row r="211" spans="1:1" ht="15" customHeight="1" x14ac:dyDescent="0.75">
      <c r="A211" s="16" t="s">
        <v>188</v>
      </c>
    </row>
    <row r="212" spans="1:1" ht="15" customHeight="1" x14ac:dyDescent="0.75">
      <c r="A212" s="16" t="s">
        <v>189</v>
      </c>
    </row>
    <row r="213" spans="1:1" ht="15" customHeight="1" x14ac:dyDescent="0.75">
      <c r="A213" s="16" t="s">
        <v>190</v>
      </c>
    </row>
    <row r="214" spans="1:1" ht="15" customHeight="1" x14ac:dyDescent="0.75">
      <c r="A214" s="16" t="s">
        <v>191</v>
      </c>
    </row>
    <row r="215" spans="1:1" ht="15" customHeight="1" x14ac:dyDescent="0.75">
      <c r="A215" s="16" t="s">
        <v>192</v>
      </c>
    </row>
    <row r="216" spans="1:1" ht="15" customHeight="1" x14ac:dyDescent="0.75">
      <c r="A216" s="16" t="s">
        <v>193</v>
      </c>
    </row>
    <row r="217" spans="1:1" ht="15" customHeight="1" x14ac:dyDescent="0.75">
      <c r="A217" s="16" t="s">
        <v>194</v>
      </c>
    </row>
    <row r="218" spans="1:1" ht="15" customHeight="1" x14ac:dyDescent="0.75">
      <c r="A218" s="16" t="s">
        <v>195</v>
      </c>
    </row>
    <row r="219" spans="1:1" ht="15" customHeight="1" x14ac:dyDescent="0.75">
      <c r="A219" s="16" t="s">
        <v>196</v>
      </c>
    </row>
    <row r="220" spans="1:1" ht="15" customHeight="1" x14ac:dyDescent="0.75">
      <c r="A220" s="16" t="s">
        <v>197</v>
      </c>
    </row>
    <row r="221" spans="1:1" ht="15" customHeight="1" x14ac:dyDescent="0.75">
      <c r="A221" s="16" t="s">
        <v>198</v>
      </c>
    </row>
    <row r="222" spans="1:1" ht="15" customHeight="1" x14ac:dyDescent="0.75">
      <c r="A222" s="16" t="s">
        <v>199</v>
      </c>
    </row>
    <row r="223" spans="1:1" ht="15" customHeight="1" x14ac:dyDescent="0.75">
      <c r="A223" s="16" t="s">
        <v>200</v>
      </c>
    </row>
    <row r="224" spans="1:1" ht="15" customHeight="1" x14ac:dyDescent="0.75">
      <c r="A224" s="16" t="s">
        <v>201</v>
      </c>
    </row>
    <row r="225" spans="1:1" ht="15" customHeight="1" x14ac:dyDescent="0.75">
      <c r="A225" s="16" t="s">
        <v>202</v>
      </c>
    </row>
    <row r="226" spans="1:1" ht="15" customHeight="1" x14ac:dyDescent="0.75">
      <c r="A226" s="16" t="s">
        <v>203</v>
      </c>
    </row>
    <row r="227" spans="1:1" ht="15" customHeight="1" x14ac:dyDescent="0.75">
      <c r="A227" s="16" t="s">
        <v>204</v>
      </c>
    </row>
    <row r="228" spans="1:1" ht="15" customHeight="1" x14ac:dyDescent="0.75">
      <c r="A228" s="16" t="s">
        <v>205</v>
      </c>
    </row>
    <row r="229" spans="1:1" ht="15" customHeight="1" x14ac:dyDescent="0.75">
      <c r="A229" s="16" t="s">
        <v>206</v>
      </c>
    </row>
    <row r="230" spans="1:1" ht="15" customHeight="1" x14ac:dyDescent="0.75">
      <c r="A230" s="16" t="s">
        <v>207</v>
      </c>
    </row>
    <row r="231" spans="1:1" ht="15" customHeight="1" x14ac:dyDescent="0.75">
      <c r="A231" s="16" t="s">
        <v>208</v>
      </c>
    </row>
    <row r="232" spans="1:1" ht="15" customHeight="1" x14ac:dyDescent="0.75">
      <c r="A232" s="16" t="s">
        <v>209</v>
      </c>
    </row>
    <row r="233" spans="1:1" ht="15" customHeight="1" x14ac:dyDescent="0.75">
      <c r="A233" s="16" t="s">
        <v>210</v>
      </c>
    </row>
    <row r="234" spans="1:1" ht="15" customHeight="1" x14ac:dyDescent="0.75">
      <c r="A234" s="16" t="s">
        <v>211</v>
      </c>
    </row>
    <row r="235" spans="1:1" ht="15" customHeight="1" x14ac:dyDescent="0.75">
      <c r="A235" s="16" t="s">
        <v>212</v>
      </c>
    </row>
    <row r="236" spans="1:1" ht="15" customHeight="1" x14ac:dyDescent="0.75">
      <c r="A236" s="16" t="s">
        <v>213</v>
      </c>
    </row>
    <row r="237" spans="1:1" ht="15" customHeight="1" x14ac:dyDescent="0.75">
      <c r="A237" s="16" t="s">
        <v>214</v>
      </c>
    </row>
    <row r="238" spans="1:1" ht="15" customHeight="1" x14ac:dyDescent="0.75">
      <c r="A238" s="16" t="s">
        <v>215</v>
      </c>
    </row>
    <row r="239" spans="1:1" ht="15" customHeight="1" x14ac:dyDescent="0.75">
      <c r="A239" s="16" t="s">
        <v>216</v>
      </c>
    </row>
    <row r="240" spans="1:1" ht="15" customHeight="1" x14ac:dyDescent="0.75">
      <c r="A240" s="16" t="s">
        <v>217</v>
      </c>
    </row>
    <row r="241" spans="1:1" ht="15" customHeight="1" x14ac:dyDescent="0.75">
      <c r="A241" s="16" t="s">
        <v>218</v>
      </c>
    </row>
    <row r="242" spans="1:1" ht="15" customHeight="1" x14ac:dyDescent="0.75">
      <c r="A242" s="16" t="s">
        <v>219</v>
      </c>
    </row>
    <row r="243" spans="1:1" ht="15" customHeight="1" x14ac:dyDescent="0.75">
      <c r="A243" s="16" t="s">
        <v>220</v>
      </c>
    </row>
    <row r="244" spans="1:1" ht="15" customHeight="1" x14ac:dyDescent="0.75">
      <c r="A244" s="16" t="s">
        <v>221</v>
      </c>
    </row>
    <row r="245" spans="1:1" ht="15" customHeight="1" x14ac:dyDescent="0.75">
      <c r="A245" s="16" t="s">
        <v>222</v>
      </c>
    </row>
    <row r="246" spans="1:1" ht="15" customHeight="1" x14ac:dyDescent="0.75">
      <c r="A246" s="16" t="s">
        <v>223</v>
      </c>
    </row>
    <row r="247" spans="1:1" ht="15" customHeight="1" x14ac:dyDescent="0.75">
      <c r="A247" s="16" t="s">
        <v>224</v>
      </c>
    </row>
    <row r="248" spans="1:1" ht="15" customHeight="1" x14ac:dyDescent="0.75">
      <c r="A248" s="16" t="s">
        <v>225</v>
      </c>
    </row>
    <row r="249" spans="1:1" ht="15" customHeight="1" x14ac:dyDescent="0.75">
      <c r="A249" s="16" t="s">
        <v>226</v>
      </c>
    </row>
    <row r="250" spans="1:1" ht="15" customHeight="1" x14ac:dyDescent="0.75">
      <c r="A250" s="16" t="s">
        <v>227</v>
      </c>
    </row>
    <row r="251" spans="1:1" ht="15" customHeight="1" x14ac:dyDescent="0.75">
      <c r="A251" s="16" t="s">
        <v>228</v>
      </c>
    </row>
    <row r="252" spans="1:1" ht="15" customHeight="1" x14ac:dyDescent="0.75">
      <c r="A252" s="16" t="s">
        <v>229</v>
      </c>
    </row>
    <row r="253" spans="1:1" ht="15" customHeight="1" x14ac:dyDescent="0.75">
      <c r="A253" s="16" t="s">
        <v>230</v>
      </c>
    </row>
    <row r="254" spans="1:1" ht="15" customHeight="1" x14ac:dyDescent="0.75">
      <c r="A254" s="16" t="s">
        <v>231</v>
      </c>
    </row>
    <row r="255" spans="1:1" ht="15" customHeight="1" x14ac:dyDescent="0.75">
      <c r="A255" s="16" t="s">
        <v>232</v>
      </c>
    </row>
    <row r="256" spans="1:1" ht="15" customHeight="1" x14ac:dyDescent="0.75">
      <c r="A256" s="16" t="s">
        <v>233</v>
      </c>
    </row>
    <row r="257" spans="1:1" ht="15" customHeight="1" x14ac:dyDescent="0.75">
      <c r="A257" s="16" t="s">
        <v>234</v>
      </c>
    </row>
    <row r="258" spans="1:1" ht="15" customHeight="1" x14ac:dyDescent="0.75">
      <c r="A258" s="16" t="s">
        <v>235</v>
      </c>
    </row>
    <row r="259" spans="1:1" ht="15" customHeight="1" x14ac:dyDescent="0.75">
      <c r="A259" s="16" t="s">
        <v>236</v>
      </c>
    </row>
    <row r="260" spans="1:1" ht="15" customHeight="1" x14ac:dyDescent="0.75">
      <c r="A260" s="16" t="s">
        <v>237</v>
      </c>
    </row>
    <row r="261" spans="1:1" ht="15" customHeight="1" x14ac:dyDescent="0.75">
      <c r="A261" s="16" t="s">
        <v>238</v>
      </c>
    </row>
    <row r="262" spans="1:1" ht="15" customHeight="1" x14ac:dyDescent="0.75">
      <c r="A262" s="16" t="s">
        <v>239</v>
      </c>
    </row>
    <row r="263" spans="1:1" ht="15" customHeight="1" x14ac:dyDescent="0.75">
      <c r="A263" s="16" t="s">
        <v>240</v>
      </c>
    </row>
    <row r="264" spans="1:1" ht="15" customHeight="1" x14ac:dyDescent="0.75">
      <c r="A264" s="16" t="s">
        <v>241</v>
      </c>
    </row>
    <row r="265" spans="1:1" ht="15" customHeight="1" x14ac:dyDescent="0.75">
      <c r="A265" s="16" t="s">
        <v>242</v>
      </c>
    </row>
    <row r="266" spans="1:1" ht="15" customHeight="1" x14ac:dyDescent="0.75">
      <c r="A266" s="16" t="s">
        <v>243</v>
      </c>
    </row>
    <row r="267" spans="1:1" ht="15" customHeight="1" x14ac:dyDescent="0.75">
      <c r="A267" s="16" t="s">
        <v>244</v>
      </c>
    </row>
    <row r="268" spans="1:1" ht="15" customHeight="1" x14ac:dyDescent="0.75">
      <c r="A268" s="16" t="s">
        <v>245</v>
      </c>
    </row>
    <row r="269" spans="1:1" ht="15" customHeight="1" x14ac:dyDescent="0.75">
      <c r="A269" s="16" t="s">
        <v>246</v>
      </c>
    </row>
    <row r="270" spans="1:1" ht="15" customHeight="1" x14ac:dyDescent="0.75">
      <c r="A270" s="16" t="s">
        <v>247</v>
      </c>
    </row>
    <row r="271" spans="1:1" ht="15" customHeight="1" x14ac:dyDescent="0.75">
      <c r="A271" s="16" t="s">
        <v>248</v>
      </c>
    </row>
    <row r="272" spans="1:1" ht="15" customHeight="1" x14ac:dyDescent="0.75">
      <c r="A272" s="16" t="s">
        <v>249</v>
      </c>
    </row>
    <row r="273" spans="1:1" ht="15" customHeight="1" x14ac:dyDescent="0.75">
      <c r="A273" s="16" t="s">
        <v>250</v>
      </c>
    </row>
    <row r="274" spans="1:1" ht="15" customHeight="1" x14ac:dyDescent="0.75">
      <c r="A274" s="16" t="s">
        <v>251</v>
      </c>
    </row>
    <row r="275" spans="1:1" ht="15" customHeight="1" x14ac:dyDescent="0.75">
      <c r="A275" s="16" t="s">
        <v>252</v>
      </c>
    </row>
    <row r="276" spans="1:1" ht="15" customHeight="1" x14ac:dyDescent="0.75">
      <c r="A276" s="16" t="s">
        <v>253</v>
      </c>
    </row>
    <row r="277" spans="1:1" ht="15" customHeight="1" x14ac:dyDescent="0.75">
      <c r="A277" s="16" t="s">
        <v>254</v>
      </c>
    </row>
    <row r="278" spans="1:1" ht="15" customHeight="1" x14ac:dyDescent="0.75">
      <c r="A278" s="16" t="s">
        <v>255</v>
      </c>
    </row>
    <row r="279" spans="1:1" ht="15" customHeight="1" x14ac:dyDescent="0.75">
      <c r="A279" s="16" t="s">
        <v>256</v>
      </c>
    </row>
    <row r="280" spans="1:1" ht="15" customHeight="1" x14ac:dyDescent="0.75">
      <c r="A280" s="16" t="s">
        <v>257</v>
      </c>
    </row>
    <row r="281" spans="1:1" ht="15" customHeight="1" x14ac:dyDescent="0.75">
      <c r="A281" s="16" t="s">
        <v>258</v>
      </c>
    </row>
    <row r="282" spans="1:1" ht="15" customHeight="1" x14ac:dyDescent="0.75">
      <c r="A282" s="16" t="s">
        <v>259</v>
      </c>
    </row>
    <row r="283" spans="1:1" ht="15" customHeight="1" x14ac:dyDescent="0.75">
      <c r="A283" s="16" t="s">
        <v>260</v>
      </c>
    </row>
    <row r="284" spans="1:1" ht="15" customHeight="1" x14ac:dyDescent="0.75">
      <c r="A284" s="16" t="s">
        <v>261</v>
      </c>
    </row>
    <row r="285" spans="1:1" ht="15" customHeight="1" x14ac:dyDescent="0.75">
      <c r="A285" s="16" t="s">
        <v>262</v>
      </c>
    </row>
    <row r="286" spans="1:1" ht="15" customHeight="1" x14ac:dyDescent="0.75">
      <c r="A286" s="16" t="s">
        <v>263</v>
      </c>
    </row>
    <row r="287" spans="1:1" ht="15" customHeight="1" x14ac:dyDescent="0.75">
      <c r="A287" s="16" t="s">
        <v>264</v>
      </c>
    </row>
    <row r="288" spans="1:1" ht="15" customHeight="1" x14ac:dyDescent="0.75">
      <c r="A288" s="16" t="s">
        <v>265</v>
      </c>
    </row>
    <row r="289" spans="1:1" ht="15" customHeight="1" x14ac:dyDescent="0.75">
      <c r="A289" s="16" t="s">
        <v>266</v>
      </c>
    </row>
    <row r="290" spans="1:1" ht="15" customHeight="1" x14ac:dyDescent="0.75">
      <c r="A290" s="16" t="s">
        <v>267</v>
      </c>
    </row>
    <row r="291" spans="1:1" ht="15" customHeight="1" x14ac:dyDescent="0.75">
      <c r="A291" s="16" t="s">
        <v>268</v>
      </c>
    </row>
    <row r="292" spans="1:1" ht="15" customHeight="1" x14ac:dyDescent="0.75">
      <c r="A292" s="16" t="s">
        <v>269</v>
      </c>
    </row>
    <row r="293" spans="1:1" ht="15" customHeight="1" x14ac:dyDescent="0.75">
      <c r="A293" s="16" t="s">
        <v>270</v>
      </c>
    </row>
    <row r="294" spans="1:1" ht="15" customHeight="1" x14ac:dyDescent="0.75">
      <c r="A294" s="16" t="s">
        <v>271</v>
      </c>
    </row>
    <row r="295" spans="1:1" ht="15" customHeight="1" x14ac:dyDescent="0.75">
      <c r="A295" s="16" t="s">
        <v>272</v>
      </c>
    </row>
    <row r="296" spans="1:1" ht="15" customHeight="1" x14ac:dyDescent="0.75">
      <c r="A296" s="16" t="s">
        <v>273</v>
      </c>
    </row>
    <row r="297" spans="1:1" ht="15" customHeight="1" x14ac:dyDescent="0.75">
      <c r="A297" s="16" t="s">
        <v>274</v>
      </c>
    </row>
    <row r="298" spans="1:1" ht="15" customHeight="1" x14ac:dyDescent="0.75">
      <c r="A298" s="16" t="s">
        <v>275</v>
      </c>
    </row>
    <row r="299" spans="1:1" ht="15" customHeight="1" x14ac:dyDescent="0.75">
      <c r="A299" s="16" t="s">
        <v>276</v>
      </c>
    </row>
    <row r="300" spans="1:1" ht="15" customHeight="1" x14ac:dyDescent="0.75">
      <c r="A300" s="16" t="s">
        <v>277</v>
      </c>
    </row>
    <row r="301" spans="1:1" ht="15" customHeight="1" x14ac:dyDescent="0.75">
      <c r="A301" s="16" t="s">
        <v>278</v>
      </c>
    </row>
  </sheetData>
  <autoFilter ref="A1:L301" xr:uid="{00000000-0009-0000-0000-000001000000}"/>
  <phoneticPr fontId="4" type="noConversion"/>
  <dataValidations count="6">
    <dataValidation type="list" allowBlank="1" sqref="B2:B301" xr:uid="{00000000-0002-0000-0100-000000000000}">
      <formula1>"Week 1,Week 2,Week 3"</formula1>
      <formula2>0</formula2>
    </dataValidation>
    <dataValidation type="list" allowBlank="1" sqref="F2:G301" xr:uid="{00000000-0002-0000-0100-000002000000}">
      <formula1>"PASS,FAIL,NOT TESTED"</formula1>
      <formula2>0</formula2>
    </dataValidation>
    <dataValidation type="list" allowBlank="1" sqref="H2:H301" xr:uid="{00000000-0002-0000-0100-000004000000}">
      <formula1>"YES,NO,UNCERTAIN"</formula1>
      <formula2>0</formula2>
    </dataValidation>
    <dataValidation type="list" allowBlank="1" sqref="I2:I301" xr:uid="{00000000-0002-0000-0100-000005000000}">
      <formula1>"Critical,Major,Minor,None"</formula1>
      <formula2>0</formula2>
    </dataValidation>
    <dataValidation type="list" allowBlank="1" sqref="L2:L301" xr:uid="{00000000-0002-0000-0100-000006000000}">
      <formula1>"PASS,FAIL,NOT RETESTED"</formula1>
      <formula2>0</formula2>
    </dataValidation>
    <dataValidation type="list" allowBlank="1" sqref="D2:D301" xr:uid="{00000000-0002-0000-0100-000001000000}">
      <formula1>"METAR,SPECI,TAF,SIGMET"</formula1>
      <formula2>0</formula2>
    </dataValidation>
  </dataValidations>
  <hyperlinks>
    <hyperlink ref="K3" r:id="rId1" xr:uid="{1413B6BC-1FD6-4993-AE0D-4B0E1D3A4FCB}"/>
    <hyperlink ref="K4" r:id="rId2" xr:uid="{855FC6F4-F8D0-446B-837F-14A4DAF0F3A9}"/>
    <hyperlink ref="K5" r:id="rId3" xr:uid="{7AD0C0E8-9344-4367-96C6-274204294B7F}"/>
    <hyperlink ref="K6" r:id="rId4" xr:uid="{9DB2C392-BF74-4AF7-8C84-6FA231BCA2E8}"/>
    <hyperlink ref="K7" r:id="rId5" xr:uid="{0700C4EB-FE29-41A2-8727-A015442CF5FA}"/>
    <hyperlink ref="K8" r:id="rId6" xr:uid="{21311463-9FFF-4878-8725-D64AF073EAA1}"/>
    <hyperlink ref="K13" r:id="rId7" xr:uid="{DA47B750-2592-426E-BDE9-EB732C1D5EF0}"/>
    <hyperlink ref="K20" r:id="rId8" xr:uid="{6465DD5D-C316-4A6B-A466-C0D71FA4E739}"/>
    <hyperlink ref="K24" r:id="rId9" xr:uid="{182CC9A2-4BC1-4DC2-8FBC-24897E4E0850}"/>
    <hyperlink ref="K25" r:id="rId10" xr:uid="{3EEBD203-7CD8-4257-A0CE-169ABBC19019}"/>
    <hyperlink ref="K26" r:id="rId11" xr:uid="{7B0A9E9A-F76A-4CF9-BD5F-62AA901BA132}"/>
    <hyperlink ref="K27" r:id="rId12" xr:uid="{A3C04974-5162-4E48-B95D-BEA4A92C4098}"/>
    <hyperlink ref="K28" r:id="rId13" xr:uid="{E8E07086-6B55-40C9-A167-9031752E92BF}"/>
    <hyperlink ref="K29" r:id="rId14" xr:uid="{4831A461-E502-4099-B565-20AF6E70B5DB}"/>
    <hyperlink ref="K30" r:id="rId15" xr:uid="{4D196F1E-908E-4E4F-AA98-1771E1CB81D6}"/>
    <hyperlink ref="K31" r:id="rId16" xr:uid="{F81AE270-DAFD-453B-BAD1-5209117EFDF3}"/>
    <hyperlink ref="K32" r:id="rId17" xr:uid="{8F5689AF-683B-4732-A393-A7FFB0FD27E5}"/>
    <hyperlink ref="K33" r:id="rId18" xr:uid="{B00881BE-BBBC-4DA1-9B88-92BCFA18AFE3}"/>
    <hyperlink ref="K36" r:id="rId19" xr:uid="{9525889E-A191-4423-B446-7C5F132104F8}"/>
    <hyperlink ref="K37" r:id="rId20" xr:uid="{F62A8C27-18E1-4AB9-909A-9ABCE5E2BB58}"/>
    <hyperlink ref="K38" r:id="rId21" xr:uid="{569C92A5-D3F2-4608-BBFB-9D26C0EB69A9}"/>
    <hyperlink ref="K39" r:id="rId22" xr:uid="{CC0546BB-B012-40F8-A1F8-3CD927191040}"/>
    <hyperlink ref="K61" r:id="rId23" xr:uid="{B23332D0-DF56-4236-9432-BBC46B404899}"/>
    <hyperlink ref="K62" r:id="rId24" xr:uid="{CCAB9C12-A893-40BB-94B5-0AF325866E4D}"/>
    <hyperlink ref="K63" r:id="rId25" xr:uid="{4C856E3A-FF22-4892-9E48-435261F04339}"/>
    <hyperlink ref="K64" r:id="rId26" xr:uid="{A2FE98CD-1B57-4E02-9D25-FDDB2FF4D2DE}"/>
    <hyperlink ref="K65" r:id="rId27" xr:uid="{7D5470B3-28B0-4C81-B98D-A31790C561D7}"/>
    <hyperlink ref="K66" r:id="rId28" xr:uid="{C93CD5E9-5183-4EDF-9D01-B795C38E41EC}"/>
    <hyperlink ref="K67" r:id="rId29" xr:uid="{4C1FD4F6-FE9C-45D7-853B-741373CD9634}"/>
    <hyperlink ref="K69" r:id="rId30" xr:uid="{7C93CD1E-851D-41DE-B027-B4AB9435D7A7}"/>
    <hyperlink ref="K70" r:id="rId31" xr:uid="{506A981D-1D00-4893-9785-D1B01F386803}"/>
    <hyperlink ref="K72" r:id="rId32" xr:uid="{8F441D9F-7B70-4352-A8E5-141DB6467E06}"/>
    <hyperlink ref="K71" r:id="rId33" xr:uid="{33232564-5227-4A6C-886C-89372AD6F741}"/>
    <hyperlink ref="K73" r:id="rId34" xr:uid="{65933FD2-9A28-484E-9DF3-7DE210A22C3E}"/>
    <hyperlink ref="K74" r:id="rId35" xr:uid="{EA9F387C-072C-4CBE-AB28-25F973CDE266}"/>
    <hyperlink ref="K52" r:id="rId36" xr:uid="{AFC872C4-B596-4DAE-8E5F-1F2868AF0CA3}"/>
    <hyperlink ref="K60" r:id="rId37" xr:uid="{36B3C358-EF86-4C26-B362-59C4D3B906DB}"/>
  </hyperlinks>
  <pageMargins left="0.75" right="0.75" top="1" bottom="1" header="0.511811023622047" footer="0.511811023622047"/>
  <pageSetup paperSize="9" orientation="portrait" horizontalDpi="300" verticalDpi="300" r:id="rId3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tabSelected="1" zoomScaleNormal="100" workbookViewId="0">
      <pane ySplit="1" topLeftCell="A2" activePane="bottomLeft" state="frozen"/>
      <selection pane="bottomLeft" activeCell="C17" sqref="C17"/>
    </sheetView>
  </sheetViews>
  <sheetFormatPr defaultColWidth="8.6796875" defaultRowHeight="15" customHeight="1" x14ac:dyDescent="0.75"/>
  <cols>
    <col min="1" max="1" width="16" customWidth="1"/>
    <col min="2" max="2" width="34" customWidth="1"/>
    <col min="3" max="5" width="18" customWidth="1"/>
    <col min="6" max="8" width="14" customWidth="1"/>
  </cols>
  <sheetData>
    <row r="1" spans="1:8" ht="15" customHeight="1" x14ac:dyDescent="0.75">
      <c r="A1" s="3" t="s">
        <v>7</v>
      </c>
      <c r="B1" s="3" t="s">
        <v>279</v>
      </c>
      <c r="C1" s="3" t="s">
        <v>280</v>
      </c>
      <c r="D1" s="3" t="s">
        <v>281</v>
      </c>
      <c r="E1" s="3" t="s">
        <v>282</v>
      </c>
      <c r="F1" s="3" t="s">
        <v>283</v>
      </c>
      <c r="G1" s="3" t="s">
        <v>284</v>
      </c>
      <c r="H1" s="3" t="s">
        <v>285</v>
      </c>
    </row>
    <row r="2" spans="1:8" ht="15" customHeight="1" x14ac:dyDescent="0.75">
      <c r="A2" t="s">
        <v>17</v>
      </c>
      <c r="B2">
        <f>COUNTIF('Test Log'!$D$2:$D$1000,A2)</f>
        <v>20</v>
      </c>
      <c r="C2">
        <f>COUNTIFS('Test Log'!$D$2:$D$1000,A2,'Test Log'!$F$2:$F$1000,"PASS")</f>
        <v>10</v>
      </c>
      <c r="D2">
        <f>COUNTIFS('Test Log'!$D$2:$D$1000,A2,'Test Log'!$G$2:$G$1000,"PASS")</f>
        <v>5</v>
      </c>
      <c r="E2">
        <f>COUNTIFS('Test Log'!$D$2:$D$1000,A2,'Test Log'!$H$2:$H$1000,"YES")</f>
        <v>4</v>
      </c>
      <c r="F2">
        <f>COUNTIFS('Test Log'!$D$2:$D$1000,A2,'Test Log'!$I$2:$I$1000,"Critical")</f>
        <v>11</v>
      </c>
      <c r="G2">
        <f>COUNTIFS('Test Log'!$D$2:$D$1000,A2,'Test Log'!$I$2:$I$1000,"Major")</f>
        <v>1</v>
      </c>
      <c r="H2">
        <f>COUNTIFS('Test Log'!$D$2:$D$1000,A2,'Test Log'!$I$2:$I$1000,"Minor")</f>
        <v>3</v>
      </c>
    </row>
    <row r="3" spans="1:8" ht="15" customHeight="1" x14ac:dyDescent="0.75">
      <c r="A3" t="s">
        <v>286</v>
      </c>
      <c r="B3">
        <f>COUNTIF('Test Log'!$D$2:$D$1000,A3)</f>
        <v>4</v>
      </c>
      <c r="C3">
        <f>COUNTIFS('Test Log'!$D$2:$D$1000,A3,'Test Log'!$F$2:$F$1000,"PASS")</f>
        <v>3</v>
      </c>
      <c r="D3">
        <f>COUNTIFS('Test Log'!$D$2:$D$1000,A3,'Test Log'!$G$2:$G$1000,"PASS")</f>
        <v>0</v>
      </c>
      <c r="E3">
        <f>COUNTIFS('Test Log'!$D$2:$D$1000,A3,'Test Log'!$H$2:$H$1000,"YES")</f>
        <v>2</v>
      </c>
      <c r="F3">
        <f>COUNTIFS('Test Log'!$D$2:$D$1000,A3,'Test Log'!$I$2:$I$1000,"Critical")</f>
        <v>2</v>
      </c>
      <c r="G3">
        <f>COUNTIFS('Test Log'!$D$2:$D$1000,A3,'Test Log'!$I$2:$I$1000,"Major")</f>
        <v>0</v>
      </c>
      <c r="H3">
        <f>COUNTIFS('Test Log'!$D$2:$D$1000,A3,'Test Log'!$I$2:$I$1000,"Minor")</f>
        <v>0</v>
      </c>
    </row>
    <row r="4" spans="1:8" ht="15" customHeight="1" x14ac:dyDescent="0.75">
      <c r="A4" t="s">
        <v>287</v>
      </c>
      <c r="B4">
        <f>COUNTIF('Test Log'!$D$2:$D$1000,A4)</f>
        <v>23</v>
      </c>
      <c r="C4">
        <f>COUNTIFS('Test Log'!$D$2:$D$1000,A4,'Test Log'!$F$2:$F$1000,"PASS")</f>
        <v>10</v>
      </c>
      <c r="D4">
        <f>COUNTIFS('Test Log'!$D$2:$D$1000,A4,'Test Log'!$G$2:$G$1000,"PASS")</f>
        <v>2</v>
      </c>
      <c r="E4">
        <f>COUNTIFS('Test Log'!$D$2:$D$1000,A4,'Test Log'!$H$2:$H$1000,"YES")</f>
        <v>0</v>
      </c>
      <c r="F4">
        <f>COUNTIFS('Test Log'!$D$2:$D$1000,A4,'Test Log'!$I$2:$I$1000,"Critical")</f>
        <v>10</v>
      </c>
      <c r="G4">
        <f>COUNTIFS('Test Log'!$D$2:$D$1000,A4,'Test Log'!$I$2:$I$1000,"Major")</f>
        <v>0</v>
      </c>
      <c r="H4">
        <f>COUNTIFS('Test Log'!$D$2:$D$1000,A4,'Test Log'!$I$2:$I$1000,"Minor")</f>
        <v>0</v>
      </c>
    </row>
    <row r="5" spans="1:8" ht="15" customHeight="1" x14ac:dyDescent="0.75">
      <c r="A5" t="s">
        <v>288</v>
      </c>
      <c r="B5">
        <f>COUNTIF('Test Log'!$D$2:$D$1000,A5)</f>
        <v>19</v>
      </c>
      <c r="C5">
        <f>COUNTIFS('Test Log'!$D$2:$D$1000,A5,'Test Log'!$F$2:$F$1000,"PASS")</f>
        <v>3</v>
      </c>
      <c r="D5">
        <f>COUNTIFS('Test Log'!$D$2:$D$1000,A5,'Test Log'!$G$2:$G$1000,"PASS")</f>
        <v>2</v>
      </c>
      <c r="E5">
        <f>COUNTIFS('Test Log'!$D$2:$D$1000,A5,'Test Log'!$H$2:$H$1000,"YES")</f>
        <v>1</v>
      </c>
      <c r="F5">
        <f>COUNTIFS('Test Log'!$D$2:$D$1000,A5,'Test Log'!$I$2:$I$1000,"Critical")</f>
        <v>5</v>
      </c>
      <c r="G5">
        <f>COUNTIFS('Test Log'!$D$2:$D$1000,A5,'Test Log'!$I$2:$I$1000,"Major")</f>
        <v>0</v>
      </c>
      <c r="H5">
        <f>COUNTIFS('Test Log'!$D$2:$D$1000,A5,'Test Log'!$I$2:$I$1000,"Minor")</f>
        <v>0</v>
      </c>
    </row>
    <row r="6" spans="1:8" ht="15" customHeight="1" x14ac:dyDescent="0.75">
      <c r="A6" t="s">
        <v>289</v>
      </c>
      <c r="B6">
        <f t="shared" ref="B6:H6" si="0">SUM(B2:B5)</f>
        <v>66</v>
      </c>
      <c r="C6">
        <f t="shared" si="0"/>
        <v>26</v>
      </c>
      <c r="D6">
        <f t="shared" si="0"/>
        <v>9</v>
      </c>
      <c r="E6">
        <f t="shared" si="0"/>
        <v>7</v>
      </c>
      <c r="F6">
        <f t="shared" si="0"/>
        <v>28</v>
      </c>
      <c r="G6">
        <f t="shared" si="0"/>
        <v>1</v>
      </c>
      <c r="H6">
        <f t="shared" si="0"/>
        <v>3</v>
      </c>
    </row>
    <row r="8" spans="1:8" ht="15" customHeight="1" x14ac:dyDescent="0.75">
      <c r="A8" s="21" t="s">
        <v>455</v>
      </c>
      <c r="B8" s="21" t="s">
        <v>456</v>
      </c>
    </row>
    <row r="9" spans="1:8" ht="15" customHeight="1" x14ac:dyDescent="0.75">
      <c r="A9" s="21" t="s">
        <v>458</v>
      </c>
      <c r="B9" s="21" t="s">
        <v>457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
  <sheetViews>
    <sheetView zoomScaleNormal="100" workbookViewId="0">
      <pane ySplit="1" topLeftCell="A2" activePane="bottomLeft" state="frozen"/>
      <selection pane="bottomLeft" activeCell="B23" sqref="B23"/>
    </sheetView>
  </sheetViews>
  <sheetFormatPr defaultColWidth="8.6796875" defaultRowHeight="15" customHeight="1" x14ac:dyDescent="0.75"/>
  <cols>
    <col min="1" max="1" width="14" customWidth="1"/>
    <col min="2" max="2" width="40" customWidth="1"/>
    <col min="3" max="5" width="18" customWidth="1"/>
    <col min="6" max="6" width="16" customWidth="1"/>
    <col min="7" max="9" width="14" customWidth="1"/>
  </cols>
  <sheetData>
    <row r="1" spans="1:9" ht="15" customHeight="1" x14ac:dyDescent="0.75">
      <c r="A1" s="3" t="s">
        <v>5</v>
      </c>
      <c r="B1" s="3" t="s">
        <v>290</v>
      </c>
      <c r="C1" s="3" t="s">
        <v>279</v>
      </c>
      <c r="D1" s="3" t="s">
        <v>280</v>
      </c>
      <c r="E1" s="3" t="s">
        <v>281</v>
      </c>
      <c r="F1" s="3" t="s">
        <v>282</v>
      </c>
      <c r="G1" s="3" t="s">
        <v>283</v>
      </c>
      <c r="H1" s="3" t="s">
        <v>284</v>
      </c>
      <c r="I1" s="3" t="s">
        <v>285</v>
      </c>
    </row>
    <row r="2" spans="1:9" ht="15" customHeight="1" x14ac:dyDescent="0.75">
      <c r="A2" t="s">
        <v>16</v>
      </c>
      <c r="B2" t="s">
        <v>291</v>
      </c>
      <c r="C2">
        <f>COUNTIF('Test Log'!$B$2:$B$1000,A2)</f>
        <v>50</v>
      </c>
      <c r="D2">
        <f>COUNTIFS('Test Log'!$B$2:$B$1000,A2,'Test Log'!$F$2:$F$1000,"PASS")</f>
        <v>18</v>
      </c>
      <c r="E2">
        <f>COUNTIFS('Test Log'!$B$2:$B$1000,A2,'Test Log'!$G$2:$G$1000,"PASS")</f>
        <v>3</v>
      </c>
      <c r="F2">
        <f>COUNTIFS('Test Log'!$B$2:$B$1000,A2,'Test Log'!$H$2:$H$1000,"YES")</f>
        <v>4</v>
      </c>
      <c r="G2">
        <f>COUNTIFS('Test Log'!$B$2:$B$1000,A2,'Test Log'!$I$2:$I$1000,"Critical")</f>
        <v>15</v>
      </c>
      <c r="H2">
        <f>COUNTIFS('Test Log'!$B$2:$B$1000,A2,'Test Log'!$I$2:$I$1000,"Major")</f>
        <v>1</v>
      </c>
      <c r="I2">
        <f>COUNTIFS('Test Log'!$B$2:$B$1000,A2,'Test Log'!$I$2:$I$1000,"Minor")</f>
        <v>3</v>
      </c>
    </row>
    <row r="3" spans="1:9" ht="15" customHeight="1" x14ac:dyDescent="0.75">
      <c r="A3" t="s">
        <v>22</v>
      </c>
      <c r="B3" t="s">
        <v>292</v>
      </c>
      <c r="C3">
        <f>COUNTIF('Test Log'!$B$2:$B$1000,A3)</f>
        <v>23</v>
      </c>
      <c r="D3">
        <f>COUNTIFS('Test Log'!$B$2:$B$1000,A3,'Test Log'!$F$2:$F$1000,"PASS")</f>
        <v>9</v>
      </c>
      <c r="E3">
        <f>COUNTIFS('Test Log'!$B$2:$B$1000,A3,'Test Log'!$G$2:$G$1000,"PASS")</f>
        <v>7</v>
      </c>
      <c r="F3">
        <f>COUNTIFS('Test Log'!$B$2:$B$1000,A3,'Test Log'!$H$2:$H$1000,"YES")</f>
        <v>3</v>
      </c>
      <c r="G3">
        <f>COUNTIFS('Test Log'!$B$2:$B$1000,A3,'Test Log'!$I$2:$I$1000,"Critical")</f>
        <v>14</v>
      </c>
      <c r="H3">
        <f>COUNTIFS('Test Log'!$B$2:$B$1000,A3,'Test Log'!$I$2:$I$1000,"Major")</f>
        <v>0</v>
      </c>
      <c r="I3">
        <f>COUNTIFS('Test Log'!$B$2:$B$1000,A3,'Test Log'!$I$2:$I$1000,"Minor")</f>
        <v>0</v>
      </c>
    </row>
    <row r="4" spans="1:9" ht="15" customHeight="1" x14ac:dyDescent="0.75">
      <c r="A4" t="s">
        <v>293</v>
      </c>
      <c r="B4" t="s">
        <v>294</v>
      </c>
      <c r="C4">
        <f>COUNTIF('Test Log'!$B$2:$B$1000,A4)</f>
        <v>1</v>
      </c>
      <c r="D4">
        <f>COUNTIFS('Test Log'!$B$2:$B$1000,A4,'Test Log'!$F$2:$F$1000,"PASS")</f>
        <v>0</v>
      </c>
      <c r="E4">
        <f>COUNTIFS('Test Log'!$B$2:$B$1000,A4,'Test Log'!$G$2:$G$1000,"PASS")</f>
        <v>0</v>
      </c>
      <c r="F4">
        <f>COUNTIFS('Test Log'!$B$2:$B$1000,A4,'Test Log'!$H$2:$H$1000,"YES")</f>
        <v>0</v>
      </c>
      <c r="G4">
        <f>COUNTIFS('Test Log'!$B$2:$B$1000,A4,'Test Log'!$I$2:$I$1000,"Critical")</f>
        <v>0</v>
      </c>
      <c r="H4">
        <f>COUNTIFS('Test Log'!$B$2:$B$1000,A4,'Test Log'!$I$2:$I$1000,"Major")</f>
        <v>0</v>
      </c>
      <c r="I4">
        <f>COUNTIFS('Test Log'!$B$2:$B$1000,A4,'Test Log'!$I$2:$I$1000,"Minor")</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Test Log</vt:lpstr>
      <vt:lpstr>Summary</vt:lpstr>
      <vt:lpstr>Weekly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Saide Shakeer</cp:lastModifiedBy>
  <cp:revision>0</cp:revision>
  <dcterms:created xsi:type="dcterms:W3CDTF">2026-09-08T15:46:27Z</dcterms:created>
  <dcterms:modified xsi:type="dcterms:W3CDTF">2026-10-09T17:47:19Z</dcterms:modified>
  <dc:language>en-US</dc:language>
</cp:coreProperties>
</file>